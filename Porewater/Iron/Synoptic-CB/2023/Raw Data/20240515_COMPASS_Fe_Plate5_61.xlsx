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S:\Biogeochemistry\COMPASS Synoptics\Samples &amp; Data\Porewater\FE\2023 Runs\"/>
    </mc:Choice>
  </mc:AlternateContent>
  <xr:revisionPtr revIDLastSave="0" documentId="8_{84D2455E-C82F-4D73-89A2-23353F742167}" xr6:coauthVersionLast="47" xr6:coauthVersionMax="47" xr10:uidLastSave="{00000000-0000-0000-0000-000000000000}"/>
  <bookViews>
    <workbookView xWindow="2820" yWindow="1725" windowWidth="14910" windowHeight="11985" activeTab="1" xr2:uid="{9F823D73-CCB5-4F86-A413-DF86EBBCDB26}"/>
  </bookViews>
  <sheets>
    <sheet name="Read 1" sheetId="1" r:id="rId1"/>
    <sheet name="Read 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17" i="2" l="1"/>
  <c r="I17" i="2"/>
  <c r="F17" i="2"/>
  <c r="C17" i="2"/>
  <c r="L16" i="2"/>
  <c r="I16" i="2"/>
  <c r="F16" i="2"/>
  <c r="C16" i="2"/>
  <c r="L15" i="2"/>
  <c r="I15" i="2"/>
  <c r="F15" i="2"/>
  <c r="C15" i="2"/>
  <c r="L14" i="2"/>
  <c r="I14" i="2"/>
  <c r="F14" i="2"/>
  <c r="C14" i="2"/>
  <c r="L13" i="2"/>
  <c r="I13" i="2"/>
  <c r="F13" i="2"/>
  <c r="C13" i="2"/>
  <c r="L12" i="2"/>
  <c r="I12" i="2"/>
  <c r="F12" i="2"/>
  <c r="C12" i="2"/>
  <c r="L11" i="2"/>
  <c r="I11" i="2"/>
  <c r="F11" i="2"/>
  <c r="C11" i="2"/>
  <c r="L10" i="2"/>
  <c r="I10" i="2"/>
  <c r="F10" i="2"/>
  <c r="C10" i="2"/>
  <c r="L17" i="1"/>
  <c r="L16" i="1"/>
  <c r="L15" i="1"/>
  <c r="L14" i="1"/>
  <c r="L13" i="1"/>
  <c r="L12" i="1"/>
  <c r="L11" i="1"/>
  <c r="L10" i="1"/>
  <c r="I17" i="1"/>
  <c r="I16" i="1"/>
  <c r="I15" i="1"/>
  <c r="I14" i="1"/>
  <c r="I13" i="1"/>
  <c r="I12" i="1"/>
  <c r="I11" i="1"/>
  <c r="I10" i="1"/>
  <c r="F17" i="1"/>
  <c r="F16" i="1"/>
  <c r="F15" i="1"/>
  <c r="F14" i="1"/>
  <c r="F13" i="1"/>
  <c r="F12" i="1"/>
  <c r="F11" i="1"/>
  <c r="F10" i="1"/>
  <c r="C11" i="1"/>
  <c r="C12" i="1"/>
  <c r="C13" i="1"/>
  <c r="C14" i="1"/>
  <c r="C15" i="1"/>
  <c r="C16" i="1"/>
  <c r="C17" i="1"/>
  <c r="C10" i="1"/>
</calcChain>
</file>

<file path=xl/sharedStrings.xml><?xml version="1.0" encoding="utf-8"?>
<sst xmlns="http://schemas.openxmlformats.org/spreadsheetml/2006/main" count="16" uniqueCount="8">
  <si>
    <t>A</t>
  </si>
  <si>
    <t>B</t>
  </si>
  <si>
    <t>C</t>
  </si>
  <si>
    <t>D</t>
  </si>
  <si>
    <t>E</t>
  </si>
  <si>
    <t>F</t>
  </si>
  <si>
    <t>G</t>
  </si>
  <si>
    <t>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</si>
</sst>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000000"/>
      <name val="Arial"/>
      <family val="2"/>
    </font>
    <font>
      <sz val="10"/>
      <color rgb="FF000000"/>
      <name val="Arial"/>
      <family val="2"/>
    </font>
    <font>
      <sz val="7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1" xfId="0" applyFill="1" applyBorder="1" applyAlignment="1">
      <alignment horizontal="left" vertical="center" wrapText="1" indent="1"/>
    </xf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left" vertical="center" wrapText="1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94BD75-FFE1-4A1A-9678-45718A9A8A2C}">
  <dimension ref="A1:N17"/>
  <sheetViews>
    <sheetView workbookViewId="0">
      <selection activeCell="E20" sqref="E20"/>
    </sheetView>
  </sheetViews>
  <sheetFormatPr defaultRowHeight="15" x14ac:dyDescent="0.25"/>
  <sheetData>
    <row r="1" spans="1:14" x14ac:dyDescent="0.25">
      <c r="A1" s="1"/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  <c r="H1" s="2">
        <v>7</v>
      </c>
      <c r="I1" s="2">
        <v>8</v>
      </c>
      <c r="J1" s="2">
        <v>9</v>
      </c>
      <c r="K1" s="2">
        <v>10</v>
      </c>
      <c r="L1" s="2">
        <v>11</v>
      </c>
      <c r="M1" s="2">
        <v>12</v>
      </c>
    </row>
    <row r="2" spans="1:14" x14ac:dyDescent="0.25">
      <c r="A2" s="2" t="s">
        <v>0</v>
      </c>
      <c r="B2" s="3">
        <v>0.222</v>
      </c>
      <c r="C2" s="3">
        <v>0.27200000000000002</v>
      </c>
      <c r="D2" s="3">
        <v>0.253</v>
      </c>
      <c r="E2" s="3">
        <v>0.186</v>
      </c>
      <c r="F2" s="3">
        <v>0.189</v>
      </c>
      <c r="G2" s="3">
        <v>0.182</v>
      </c>
      <c r="H2" s="3">
        <v>0.56799999999999995</v>
      </c>
      <c r="I2" s="3">
        <v>0.54400000000000004</v>
      </c>
      <c r="J2" s="3">
        <v>0.56799999999999995</v>
      </c>
      <c r="K2" s="3">
        <v>0.58799999999999997</v>
      </c>
      <c r="L2" s="3">
        <v>0.56899999999999995</v>
      </c>
      <c r="M2" s="3">
        <v>0.54400000000000004</v>
      </c>
      <c r="N2" s="4">
        <v>562</v>
      </c>
    </row>
    <row r="3" spans="1:14" x14ac:dyDescent="0.25">
      <c r="A3" s="2" t="s">
        <v>1</v>
      </c>
      <c r="B3" s="3">
        <v>6.6000000000000003E-2</v>
      </c>
      <c r="C3" s="3">
        <v>6.7000000000000004E-2</v>
      </c>
      <c r="D3" s="3">
        <v>6.9000000000000006E-2</v>
      </c>
      <c r="E3" s="3">
        <v>0.67700000000000005</v>
      </c>
      <c r="F3" s="3">
        <v>0.66600000000000004</v>
      </c>
      <c r="G3" s="3">
        <v>0.69099999999999995</v>
      </c>
      <c r="H3" s="3">
        <v>0.22800000000000001</v>
      </c>
      <c r="I3" s="3">
        <v>0.223</v>
      </c>
      <c r="J3" s="3">
        <v>0.20799999999999999</v>
      </c>
      <c r="K3" s="3">
        <v>0.218</v>
      </c>
      <c r="L3" s="3">
        <v>0.21299999999999999</v>
      </c>
      <c r="M3" s="3">
        <v>0.20799999999999999</v>
      </c>
      <c r="N3" s="4">
        <v>562</v>
      </c>
    </row>
    <row r="4" spans="1:14" x14ac:dyDescent="0.25">
      <c r="A4" s="2" t="s">
        <v>2</v>
      </c>
      <c r="B4" s="3">
        <v>3.9E-2</v>
      </c>
      <c r="C4" s="3">
        <v>3.9E-2</v>
      </c>
      <c r="D4" s="3">
        <v>3.9E-2</v>
      </c>
      <c r="E4" s="3">
        <v>0.59899999999999998</v>
      </c>
      <c r="F4" s="3">
        <v>0.58299999999999996</v>
      </c>
      <c r="G4" s="3">
        <v>0.67900000000000005</v>
      </c>
      <c r="H4" s="3">
        <v>0.68300000000000005</v>
      </c>
      <c r="I4" s="3">
        <v>0.67600000000000005</v>
      </c>
      <c r="J4" s="3">
        <v>0.70599999999999996</v>
      </c>
      <c r="K4" s="3">
        <v>0.434</v>
      </c>
      <c r="L4" s="3">
        <v>0.42599999999999999</v>
      </c>
      <c r="M4" s="3">
        <v>0.42399999999999999</v>
      </c>
      <c r="N4" s="4">
        <v>562</v>
      </c>
    </row>
    <row r="5" spans="1:14" x14ac:dyDescent="0.25">
      <c r="A5" s="2" t="s">
        <v>3</v>
      </c>
      <c r="B5" s="3">
        <v>3.7999999999999999E-2</v>
      </c>
      <c r="C5" s="3">
        <v>3.7999999999999999E-2</v>
      </c>
      <c r="D5" s="3">
        <v>3.6999999999999998E-2</v>
      </c>
      <c r="E5" s="3">
        <v>0.183</v>
      </c>
      <c r="F5" s="3">
        <v>0.182</v>
      </c>
      <c r="G5" s="3">
        <v>0.18099999999999999</v>
      </c>
      <c r="H5" s="3">
        <v>0.79</v>
      </c>
      <c r="I5" s="3">
        <v>0.65900000000000003</v>
      </c>
      <c r="J5" s="3">
        <v>0.68</v>
      </c>
      <c r="K5" s="3">
        <v>0.38</v>
      </c>
      <c r="L5" s="3">
        <v>0.373</v>
      </c>
      <c r="M5" s="3">
        <v>0.39800000000000002</v>
      </c>
      <c r="N5" s="4">
        <v>562</v>
      </c>
    </row>
    <row r="6" spans="1:14" x14ac:dyDescent="0.25">
      <c r="A6" s="2" t="s">
        <v>4</v>
      </c>
      <c r="B6" s="3">
        <v>0.04</v>
      </c>
      <c r="C6" s="3">
        <v>0.04</v>
      </c>
      <c r="D6" s="3">
        <v>3.9E-2</v>
      </c>
      <c r="E6" s="3">
        <v>0.44700000000000001</v>
      </c>
      <c r="F6" s="3">
        <v>0.44</v>
      </c>
      <c r="G6" s="3">
        <v>0.441</v>
      </c>
      <c r="H6" s="3">
        <v>0.59199999999999997</v>
      </c>
      <c r="I6" s="3">
        <v>0.58099999999999996</v>
      </c>
      <c r="J6" s="3">
        <v>0.60099999999999998</v>
      </c>
      <c r="K6" s="3">
        <v>0.67</v>
      </c>
      <c r="L6" s="3">
        <v>0.66</v>
      </c>
      <c r="M6" s="3">
        <v>0.71199999999999997</v>
      </c>
      <c r="N6" s="4">
        <v>562</v>
      </c>
    </row>
    <row r="7" spans="1:14" x14ac:dyDescent="0.25">
      <c r="A7" s="2" t="s">
        <v>5</v>
      </c>
      <c r="B7" s="3">
        <v>3.7999999999999999E-2</v>
      </c>
      <c r="C7" s="3">
        <v>3.9E-2</v>
      </c>
      <c r="D7" s="3">
        <v>3.7999999999999999E-2</v>
      </c>
      <c r="E7" s="3">
        <v>0.77300000000000002</v>
      </c>
      <c r="F7" s="3">
        <v>0.77900000000000003</v>
      </c>
      <c r="G7" s="3">
        <v>0.81499999999999995</v>
      </c>
      <c r="H7" s="3">
        <v>0.438</v>
      </c>
      <c r="I7" s="3">
        <v>0.38500000000000001</v>
      </c>
      <c r="J7" s="3">
        <v>0.40500000000000003</v>
      </c>
      <c r="K7" s="3">
        <v>0.58299999999999996</v>
      </c>
      <c r="L7" s="3">
        <v>0.61</v>
      </c>
      <c r="M7" s="3">
        <v>0.71199999999999997</v>
      </c>
      <c r="N7" s="4">
        <v>562</v>
      </c>
    </row>
    <row r="8" spans="1:14" x14ac:dyDescent="0.25">
      <c r="A8" s="2" t="s">
        <v>6</v>
      </c>
      <c r="B8" s="3">
        <v>3.7999999999999999E-2</v>
      </c>
      <c r="C8" s="3">
        <v>3.7999999999999999E-2</v>
      </c>
      <c r="D8" s="3">
        <v>3.7999999999999999E-2</v>
      </c>
      <c r="E8" s="3">
        <v>0.53300000000000003</v>
      </c>
      <c r="F8" s="3">
        <v>0.43099999999999999</v>
      </c>
      <c r="G8" s="3">
        <v>0.442</v>
      </c>
      <c r="H8" s="3">
        <v>0.45</v>
      </c>
      <c r="I8" s="3">
        <v>0.47799999999999998</v>
      </c>
      <c r="J8" s="3">
        <v>0.46600000000000003</v>
      </c>
      <c r="K8" s="3">
        <v>0.54100000000000004</v>
      </c>
      <c r="L8" s="3">
        <v>0.52100000000000002</v>
      </c>
      <c r="M8" s="3">
        <v>0.45</v>
      </c>
      <c r="N8" s="4">
        <v>562</v>
      </c>
    </row>
    <row r="9" spans="1:14" x14ac:dyDescent="0.25">
      <c r="A9" s="2" t="s">
        <v>7</v>
      </c>
      <c r="B9" s="3">
        <v>3.7999999999999999E-2</v>
      </c>
      <c r="C9" s="3">
        <v>3.6999999999999998E-2</v>
      </c>
      <c r="D9" s="3">
        <v>3.7999999999999999E-2</v>
      </c>
      <c r="E9" s="3">
        <v>0.56599999999999995</v>
      </c>
      <c r="F9" s="3">
        <v>0.56999999999999995</v>
      </c>
      <c r="G9" s="3">
        <v>0.59</v>
      </c>
      <c r="H9" s="3">
        <v>0.53900000000000003</v>
      </c>
      <c r="I9" s="3">
        <v>0.504</v>
      </c>
      <c r="J9" s="3">
        <v>0.54500000000000004</v>
      </c>
      <c r="K9" s="3">
        <v>0.64300000000000002</v>
      </c>
      <c r="L9" s="3">
        <v>0.59399999999999997</v>
      </c>
      <c r="M9" s="3">
        <v>0.61699999999999999</v>
      </c>
      <c r="N9" s="4">
        <v>562</v>
      </c>
    </row>
    <row r="10" spans="1:14" x14ac:dyDescent="0.25">
      <c r="C10">
        <f>AVERAGE(B2:D2)</f>
        <v>0.249</v>
      </c>
      <c r="F10">
        <f>AVERAGE(E2:G2)</f>
        <v>0.18566666666666665</v>
      </c>
      <c r="I10">
        <f>AVERAGE(H2:J2)</f>
        <v>0.56000000000000005</v>
      </c>
      <c r="L10">
        <f>AVERAGE(K2:M2)</f>
        <v>0.56700000000000006</v>
      </c>
    </row>
    <row r="11" spans="1:14" x14ac:dyDescent="0.25">
      <c r="C11">
        <f t="shared" ref="C11:C17" si="0">AVERAGE(B3:D3)</f>
        <v>6.7333333333333342E-2</v>
      </c>
      <c r="F11">
        <f t="shared" ref="F11:F17" si="1">AVERAGE(E3:G3)</f>
        <v>0.67799999999999994</v>
      </c>
      <c r="I11">
        <f t="shared" ref="I11:I17" si="2">AVERAGE(H3:J3)</f>
        <v>0.21966666666666668</v>
      </c>
      <c r="L11">
        <f t="shared" ref="L11:L17" si="3">AVERAGE(K3:M3)</f>
        <v>0.21299999999999999</v>
      </c>
    </row>
    <row r="12" spans="1:14" x14ac:dyDescent="0.25">
      <c r="C12">
        <f t="shared" si="0"/>
        <v>3.9E-2</v>
      </c>
      <c r="F12">
        <f t="shared" si="1"/>
        <v>0.62033333333333329</v>
      </c>
      <c r="I12">
        <f t="shared" si="2"/>
        <v>0.68833333333333335</v>
      </c>
      <c r="L12">
        <f t="shared" si="3"/>
        <v>0.42799999999999999</v>
      </c>
    </row>
    <row r="13" spans="1:14" x14ac:dyDescent="0.25">
      <c r="C13">
        <f t="shared" si="0"/>
        <v>3.7666666666666661E-2</v>
      </c>
      <c r="F13">
        <f t="shared" si="1"/>
        <v>0.18200000000000002</v>
      </c>
      <c r="I13">
        <f t="shared" si="2"/>
        <v>0.70966666666666667</v>
      </c>
      <c r="L13">
        <f t="shared" si="3"/>
        <v>0.38366666666666666</v>
      </c>
    </row>
    <row r="14" spans="1:14" x14ac:dyDescent="0.25">
      <c r="C14">
        <f t="shared" si="0"/>
        <v>3.9666666666666663E-2</v>
      </c>
      <c r="F14">
        <f t="shared" si="1"/>
        <v>0.44266666666666671</v>
      </c>
      <c r="I14">
        <f t="shared" si="2"/>
        <v>0.59133333333333338</v>
      </c>
      <c r="L14">
        <f t="shared" si="3"/>
        <v>0.68066666666666664</v>
      </c>
    </row>
    <row r="15" spans="1:14" x14ac:dyDescent="0.25">
      <c r="C15">
        <f t="shared" si="0"/>
        <v>3.833333333333333E-2</v>
      </c>
      <c r="F15">
        <f t="shared" si="1"/>
        <v>0.78900000000000003</v>
      </c>
      <c r="I15">
        <f t="shared" si="2"/>
        <v>0.40933333333333333</v>
      </c>
      <c r="L15">
        <f t="shared" si="3"/>
        <v>0.63500000000000001</v>
      </c>
    </row>
    <row r="16" spans="1:14" x14ac:dyDescent="0.25">
      <c r="C16">
        <f t="shared" si="0"/>
        <v>3.7999999999999999E-2</v>
      </c>
      <c r="F16">
        <f t="shared" si="1"/>
        <v>0.46866666666666662</v>
      </c>
      <c r="I16">
        <f t="shared" si="2"/>
        <v>0.46466666666666662</v>
      </c>
      <c r="L16">
        <f t="shared" si="3"/>
        <v>0.504</v>
      </c>
    </row>
    <row r="17" spans="3:12" x14ac:dyDescent="0.25">
      <c r="C17">
        <f t="shared" si="0"/>
        <v>3.7666666666666661E-2</v>
      </c>
      <c r="F17">
        <f t="shared" si="1"/>
        <v>0.57533333333333336</v>
      </c>
      <c r="I17">
        <f t="shared" si="2"/>
        <v>0.52933333333333332</v>
      </c>
      <c r="L17">
        <f t="shared" si="3"/>
        <v>0.61799999999999999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15099D-D500-4A35-B785-AD52363EE5B5}">
  <dimension ref="A1:N17"/>
  <sheetViews>
    <sheetView tabSelected="1" workbookViewId="0">
      <selection activeCell="C10" sqref="C10:L17"/>
    </sheetView>
  </sheetViews>
  <sheetFormatPr defaultRowHeight="15" x14ac:dyDescent="0.25"/>
  <sheetData>
    <row r="1" spans="1:14" x14ac:dyDescent="0.25">
      <c r="A1" s="1"/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  <c r="H1" s="2">
        <v>7</v>
      </c>
      <c r="I1" s="2">
        <v>8</v>
      </c>
      <c r="J1" s="2">
        <v>9</v>
      </c>
      <c r="K1" s="2">
        <v>10</v>
      </c>
      <c r="L1" s="2">
        <v>11</v>
      </c>
      <c r="M1" s="2">
        <v>12</v>
      </c>
    </row>
    <row r="2" spans="1:14" x14ac:dyDescent="0.25">
      <c r="A2" s="2" t="s">
        <v>0</v>
      </c>
      <c r="B2" s="3">
        <v>0.35499999999999998</v>
      </c>
      <c r="C2" s="3">
        <v>0.38900000000000001</v>
      </c>
      <c r="D2" s="3">
        <v>0.376</v>
      </c>
      <c r="E2" s="3">
        <v>0.192</v>
      </c>
      <c r="F2" s="3">
        <v>0.188</v>
      </c>
      <c r="G2" s="3">
        <v>0.186</v>
      </c>
      <c r="H2" s="3">
        <v>1.0029999999999999</v>
      </c>
      <c r="I2" s="3">
        <v>1.0760000000000001</v>
      </c>
      <c r="J2" s="3">
        <v>1.048</v>
      </c>
      <c r="K2" s="3">
        <v>1.042</v>
      </c>
      <c r="L2" s="3">
        <v>0.999</v>
      </c>
      <c r="M2" s="3">
        <v>1.002</v>
      </c>
      <c r="N2" s="4">
        <v>562</v>
      </c>
    </row>
    <row r="3" spans="1:14" x14ac:dyDescent="0.25">
      <c r="A3" s="2" t="s">
        <v>1</v>
      </c>
      <c r="B3" s="3">
        <v>8.7999999999999995E-2</v>
      </c>
      <c r="C3" s="3">
        <v>8.7999999999999995E-2</v>
      </c>
      <c r="D3" s="3">
        <v>0.09</v>
      </c>
      <c r="E3" s="3">
        <v>1.288</v>
      </c>
      <c r="F3" s="3">
        <v>1.2370000000000001</v>
      </c>
      <c r="G3" s="3">
        <v>1.18</v>
      </c>
      <c r="H3" s="3">
        <v>0.224</v>
      </c>
      <c r="I3" s="3">
        <v>0.22700000000000001</v>
      </c>
      <c r="J3" s="3">
        <v>0.218</v>
      </c>
      <c r="K3" s="3">
        <v>0.223</v>
      </c>
      <c r="L3" s="3">
        <v>0.22500000000000001</v>
      </c>
      <c r="M3" s="3">
        <v>0.221</v>
      </c>
      <c r="N3" s="4">
        <v>562</v>
      </c>
    </row>
    <row r="4" spans="1:14" x14ac:dyDescent="0.25">
      <c r="A4" s="2" t="s">
        <v>2</v>
      </c>
      <c r="B4" s="3">
        <v>4.1000000000000002E-2</v>
      </c>
      <c r="C4" s="3">
        <v>4.2000000000000003E-2</v>
      </c>
      <c r="D4" s="3">
        <v>4.1000000000000002E-2</v>
      </c>
      <c r="E4" s="3">
        <v>1.0569999999999999</v>
      </c>
      <c r="F4" s="3">
        <v>1.008</v>
      </c>
      <c r="G4" s="3">
        <v>1.018</v>
      </c>
      <c r="H4" s="3">
        <v>1.175</v>
      </c>
      <c r="I4" s="3">
        <v>1.2509999999999999</v>
      </c>
      <c r="J4" s="3">
        <v>1.407</v>
      </c>
      <c r="K4" s="3">
        <v>0.63100000000000001</v>
      </c>
      <c r="L4" s="3">
        <v>0.59799999999999998</v>
      </c>
      <c r="M4" s="3">
        <v>0.63400000000000001</v>
      </c>
      <c r="N4" s="4">
        <v>562</v>
      </c>
    </row>
    <row r="5" spans="1:14" x14ac:dyDescent="0.25">
      <c r="A5" s="2" t="s">
        <v>3</v>
      </c>
      <c r="B5" s="3">
        <v>3.9E-2</v>
      </c>
      <c r="C5" s="3">
        <v>3.7999999999999999E-2</v>
      </c>
      <c r="D5" s="3">
        <v>3.7999999999999999E-2</v>
      </c>
      <c r="E5" s="3">
        <v>0.19700000000000001</v>
      </c>
      <c r="F5" s="3">
        <v>0.189</v>
      </c>
      <c r="G5" s="3">
        <v>0.184</v>
      </c>
      <c r="H5" s="3">
        <v>1.234</v>
      </c>
      <c r="I5" s="3">
        <v>1.111</v>
      </c>
      <c r="J5" s="3">
        <v>1.3080000000000001</v>
      </c>
      <c r="K5" s="3">
        <v>0.496</v>
      </c>
      <c r="L5" s="3">
        <v>0.49299999999999999</v>
      </c>
      <c r="M5" s="3">
        <v>0.50600000000000001</v>
      </c>
      <c r="N5" s="4">
        <v>562</v>
      </c>
    </row>
    <row r="6" spans="1:14" x14ac:dyDescent="0.25">
      <c r="A6" s="2" t="s">
        <v>4</v>
      </c>
      <c r="B6" s="3">
        <v>0.20499999999999999</v>
      </c>
      <c r="C6" s="3">
        <v>0.191</v>
      </c>
      <c r="D6" s="3">
        <v>0.184</v>
      </c>
      <c r="E6" s="3">
        <v>0.62</v>
      </c>
      <c r="F6" s="3">
        <v>0.60399999999999998</v>
      </c>
      <c r="G6" s="3">
        <v>0.60099999999999998</v>
      </c>
      <c r="H6" s="3">
        <v>1.1399999999999999</v>
      </c>
      <c r="I6" s="3">
        <v>1.087</v>
      </c>
      <c r="J6" s="3">
        <v>1.1240000000000001</v>
      </c>
      <c r="K6" s="3">
        <v>1.3320000000000001</v>
      </c>
      <c r="L6" s="3">
        <v>1.169</v>
      </c>
      <c r="M6" s="3">
        <v>1.1279999999999999</v>
      </c>
      <c r="N6" s="4">
        <v>562</v>
      </c>
    </row>
    <row r="7" spans="1:14" x14ac:dyDescent="0.25">
      <c r="A7" s="2" t="s">
        <v>5</v>
      </c>
      <c r="B7" s="3">
        <v>6.3E-2</v>
      </c>
      <c r="C7" s="3">
        <v>6.3E-2</v>
      </c>
      <c r="D7" s="3">
        <v>6.4000000000000001E-2</v>
      </c>
      <c r="E7" s="3">
        <v>1.3540000000000001</v>
      </c>
      <c r="F7" s="3">
        <v>1.4319999999999999</v>
      </c>
      <c r="G7" s="3">
        <v>1.413</v>
      </c>
      <c r="H7" s="3">
        <v>0.68400000000000005</v>
      </c>
      <c r="I7" s="3">
        <v>0.69099999999999995</v>
      </c>
      <c r="J7" s="3">
        <v>0.624</v>
      </c>
      <c r="K7" s="3">
        <v>1.212</v>
      </c>
      <c r="L7" s="3">
        <v>1.159</v>
      </c>
      <c r="M7" s="3">
        <v>1.097</v>
      </c>
      <c r="N7" s="4">
        <v>562</v>
      </c>
    </row>
    <row r="8" spans="1:14" x14ac:dyDescent="0.25">
      <c r="A8" s="2" t="s">
        <v>6</v>
      </c>
      <c r="B8" s="3">
        <v>0.04</v>
      </c>
      <c r="C8" s="3">
        <v>3.9E-2</v>
      </c>
      <c r="D8" s="3">
        <v>0.04</v>
      </c>
      <c r="E8" s="3">
        <v>0.70199999999999996</v>
      </c>
      <c r="F8" s="3">
        <v>0.63</v>
      </c>
      <c r="G8" s="3">
        <v>0.66100000000000003</v>
      </c>
      <c r="H8" s="3">
        <v>0.70299999999999996</v>
      </c>
      <c r="I8" s="3">
        <v>0.73699999999999999</v>
      </c>
      <c r="J8" s="3">
        <v>0.67200000000000004</v>
      </c>
      <c r="K8" s="3">
        <v>0.81599999999999995</v>
      </c>
      <c r="L8" s="3">
        <v>0.84099999999999997</v>
      </c>
      <c r="M8" s="3">
        <v>0.78200000000000003</v>
      </c>
      <c r="N8" s="4">
        <v>562</v>
      </c>
    </row>
    <row r="9" spans="1:14" x14ac:dyDescent="0.25">
      <c r="A9" s="2" t="s">
        <v>7</v>
      </c>
      <c r="B9" s="3">
        <v>3.7999999999999999E-2</v>
      </c>
      <c r="C9" s="3">
        <v>3.6999999999999998E-2</v>
      </c>
      <c r="D9" s="3">
        <v>0.04</v>
      </c>
      <c r="E9" s="3">
        <v>0.93500000000000005</v>
      </c>
      <c r="F9" s="3">
        <v>0.90300000000000002</v>
      </c>
      <c r="G9" s="3">
        <v>0.93100000000000005</v>
      </c>
      <c r="H9" s="3">
        <v>0.94899999999999995</v>
      </c>
      <c r="I9" s="3">
        <v>0.84699999999999998</v>
      </c>
      <c r="J9" s="3">
        <v>0.871</v>
      </c>
      <c r="K9" s="3">
        <v>1.048</v>
      </c>
      <c r="L9" s="3">
        <v>0.98699999999999999</v>
      </c>
      <c r="M9" s="3">
        <v>0.98</v>
      </c>
      <c r="N9" s="4">
        <v>562</v>
      </c>
    </row>
    <row r="10" spans="1:14" x14ac:dyDescent="0.25">
      <c r="C10">
        <f>AVERAGE(B2:D2)</f>
        <v>0.37333333333333335</v>
      </c>
      <c r="F10">
        <f>AVERAGE(E2:G2)</f>
        <v>0.18866666666666668</v>
      </c>
      <c r="I10">
        <f>AVERAGE(H2:J2)</f>
        <v>1.0423333333333333</v>
      </c>
      <c r="L10">
        <f>AVERAGE(K2:M2)</f>
        <v>1.0143333333333333</v>
      </c>
    </row>
    <row r="11" spans="1:14" x14ac:dyDescent="0.25">
      <c r="C11">
        <f t="shared" ref="C11:C17" si="0">AVERAGE(B3:D3)</f>
        <v>8.8666666666666671E-2</v>
      </c>
      <c r="F11">
        <f t="shared" ref="F11:F17" si="1">AVERAGE(E3:G3)</f>
        <v>1.2350000000000001</v>
      </c>
      <c r="I11">
        <f t="shared" ref="I11:I17" si="2">AVERAGE(H3:J3)</f>
        <v>0.223</v>
      </c>
      <c r="L11">
        <f t="shared" ref="L11:L17" si="3">AVERAGE(K3:M3)</f>
        <v>0.223</v>
      </c>
    </row>
    <row r="12" spans="1:14" x14ac:dyDescent="0.25">
      <c r="C12">
        <f t="shared" si="0"/>
        <v>4.1333333333333333E-2</v>
      </c>
      <c r="F12">
        <f t="shared" si="1"/>
        <v>1.0276666666666667</v>
      </c>
      <c r="I12">
        <f t="shared" si="2"/>
        <v>1.2776666666666667</v>
      </c>
      <c r="L12">
        <f t="shared" si="3"/>
        <v>0.621</v>
      </c>
    </row>
    <row r="13" spans="1:14" x14ac:dyDescent="0.25">
      <c r="C13">
        <f t="shared" si="0"/>
        <v>3.833333333333333E-2</v>
      </c>
      <c r="F13">
        <f t="shared" si="1"/>
        <v>0.19000000000000003</v>
      </c>
      <c r="I13">
        <f t="shared" si="2"/>
        <v>1.2176666666666665</v>
      </c>
      <c r="L13">
        <f t="shared" si="3"/>
        <v>0.49833333333333335</v>
      </c>
    </row>
    <row r="14" spans="1:14" x14ac:dyDescent="0.25">
      <c r="C14">
        <f t="shared" si="0"/>
        <v>0.19333333333333336</v>
      </c>
      <c r="F14">
        <f t="shared" si="1"/>
        <v>0.60833333333333328</v>
      </c>
      <c r="I14">
        <f t="shared" si="2"/>
        <v>1.117</v>
      </c>
      <c r="L14">
        <f t="shared" si="3"/>
        <v>1.2096666666666669</v>
      </c>
    </row>
    <row r="15" spans="1:14" x14ac:dyDescent="0.25">
      <c r="C15">
        <f t="shared" si="0"/>
        <v>6.3333333333333339E-2</v>
      </c>
      <c r="F15">
        <f t="shared" si="1"/>
        <v>1.3996666666666666</v>
      </c>
      <c r="I15">
        <f t="shared" si="2"/>
        <v>0.66633333333333333</v>
      </c>
      <c r="L15">
        <f t="shared" si="3"/>
        <v>1.1559999999999999</v>
      </c>
    </row>
    <row r="16" spans="1:14" x14ac:dyDescent="0.25">
      <c r="C16">
        <f t="shared" si="0"/>
        <v>3.9666666666666663E-2</v>
      </c>
      <c r="F16">
        <f t="shared" si="1"/>
        <v>0.66433333333333333</v>
      </c>
      <c r="I16">
        <f t="shared" si="2"/>
        <v>0.70400000000000007</v>
      </c>
      <c r="L16">
        <f t="shared" si="3"/>
        <v>0.81300000000000006</v>
      </c>
    </row>
    <row r="17" spans="3:12" x14ac:dyDescent="0.25">
      <c r="C17">
        <f t="shared" si="0"/>
        <v>3.833333333333333E-2</v>
      </c>
      <c r="F17">
        <f t="shared" si="1"/>
        <v>0.92300000000000004</v>
      </c>
      <c r="I17">
        <f t="shared" si="2"/>
        <v>0.8889999999999999</v>
      </c>
      <c r="L17">
        <f t="shared" si="3"/>
        <v>1.0050000000000001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Read 1</vt:lpstr>
      <vt:lpstr>Read 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Giessner, Melanie</dc:creator>
  <cp:lastModifiedBy>Giessner, Melanie</cp:lastModifiedBy>
  <dcterms:created xsi:type="dcterms:W3CDTF">2024-05-15T20:01:12Z</dcterms:created>
  <dcterms:modified xsi:type="dcterms:W3CDTF">2024-05-15T20:03:52Z</dcterms:modified>
</cp:coreProperties>
</file>