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Biogeochemistry\COMPASS Synoptics\Samples &amp; Data\Porewater\FE\2023 Runs\"/>
    </mc:Choice>
  </mc:AlternateContent>
  <xr:revisionPtr revIDLastSave="0" documentId="8_{591F775D-A614-4A6F-8441-966C1E6AACF7}" xr6:coauthVersionLast="47" xr6:coauthVersionMax="47" xr10:uidLastSave="{00000000-0000-0000-0000-000000000000}"/>
  <bookViews>
    <workbookView xWindow="2070" yWindow="1275" windowWidth="14910" windowHeight="11985" activeTab="1" xr2:uid="{2FA97113-041E-4C7E-B815-F16A59B44CC7}"/>
  </bookViews>
  <sheets>
    <sheet name="Read 1" sheetId="1" r:id="rId1"/>
    <sheet name="Read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4" i="2" l="1"/>
  <c r="C14" i="2"/>
  <c r="D14" i="2"/>
  <c r="E14" i="2"/>
  <c r="F14" i="2"/>
  <c r="G14" i="2"/>
  <c r="H14" i="2"/>
  <c r="I14" i="2"/>
  <c r="J14" i="2"/>
  <c r="L14" i="2"/>
  <c r="M14" i="2"/>
  <c r="B14" i="2"/>
  <c r="M11" i="2"/>
  <c r="L11" i="2"/>
  <c r="K11" i="2"/>
  <c r="J11" i="2"/>
  <c r="I11" i="2"/>
  <c r="H11" i="2"/>
  <c r="G11" i="2"/>
  <c r="F11" i="2"/>
  <c r="E11" i="2"/>
  <c r="D11" i="2"/>
  <c r="C11" i="2"/>
  <c r="B11" i="2"/>
  <c r="J11" i="1"/>
  <c r="L11" i="1"/>
  <c r="C11" i="1"/>
  <c r="D11" i="1"/>
  <c r="E11" i="1"/>
  <c r="F11" i="1"/>
  <c r="G11" i="1"/>
  <c r="H11" i="1"/>
  <c r="I11" i="1"/>
  <c r="K11" i="1"/>
  <c r="M11" i="1"/>
  <c r="B11" i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<sst xmlns="http://schemas.openxmlformats.org/spreadsheetml/2006/main" count="16" uniqueCount="8">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</sst>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'Read 1'!$B$10:$M$10</c:f>
              <c:numCache>
                <c:formatCode>General</c:formatCode>
                <c:ptCount val="12"/>
                <c:pt idx="0">
                  <c:v>0</c:v>
                </c:pt>
                <c:pt idx="1">
                  <c:v>0.5</c:v>
                </c:pt>
                <c:pt idx="2">
                  <c:v>3</c:v>
                </c:pt>
                <c:pt idx="3">
                  <c:v>6</c:v>
                </c:pt>
                <c:pt idx="4">
                  <c:v>9</c:v>
                </c:pt>
                <c:pt idx="5">
                  <c:v>18</c:v>
                </c:pt>
                <c:pt idx="6">
                  <c:v>30</c:v>
                </c:pt>
                <c:pt idx="7">
                  <c:v>45</c:v>
                </c:pt>
                <c:pt idx="8">
                  <c:v>60</c:v>
                </c:pt>
                <c:pt idx="9">
                  <c:v>100</c:v>
                </c:pt>
                <c:pt idx="10">
                  <c:v>250</c:v>
                </c:pt>
                <c:pt idx="11">
                  <c:v>500</c:v>
                </c:pt>
              </c:numCache>
            </c:numRef>
          </c:xVal>
          <c:yVal>
            <c:numRef>
              <c:f>'Read 1'!$B$11:$M$11</c:f>
              <c:numCache>
                <c:formatCode>General</c:formatCode>
                <c:ptCount val="12"/>
                <c:pt idx="0">
                  <c:v>3.9E-2</c:v>
                </c:pt>
                <c:pt idx="1">
                  <c:v>3.8666666666666662E-2</c:v>
                </c:pt>
                <c:pt idx="2">
                  <c:v>4.4333333333333336E-2</c:v>
                </c:pt>
                <c:pt idx="3">
                  <c:v>5.4333333333333338E-2</c:v>
                </c:pt>
                <c:pt idx="4">
                  <c:v>6.0333333333333329E-2</c:v>
                </c:pt>
                <c:pt idx="5">
                  <c:v>8.4000000000000005E-2</c:v>
                </c:pt>
                <c:pt idx="6">
                  <c:v>0.11933333333333333</c:v>
                </c:pt>
                <c:pt idx="7">
                  <c:v>0.15333333333333332</c:v>
                </c:pt>
                <c:pt idx="8">
                  <c:v>0.25066666666666665</c:v>
                </c:pt>
                <c:pt idx="9">
                  <c:v>0.309</c:v>
                </c:pt>
                <c:pt idx="10">
                  <c:v>0.70100000000000007</c:v>
                </c:pt>
                <c:pt idx="11">
                  <c:v>1.1976666666666667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40-4B34-98B2-D8A5D5E3A0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1967480"/>
        <c:axId val="441971080"/>
      </c:scatterChart>
      <c:valAx>
        <c:axId val="441967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971080"/>
        <c:crosses val="autoZero"/>
        <c:crossBetween val="midCat"/>
      </c:valAx>
      <c:valAx>
        <c:axId val="441971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967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'Read 2'!$B$13:$K$13</c:f>
              <c:numCache>
                <c:formatCode>General</c:formatCode>
                <c:ptCount val="10"/>
                <c:pt idx="0">
                  <c:v>0</c:v>
                </c:pt>
                <c:pt idx="1">
                  <c:v>0.5</c:v>
                </c:pt>
                <c:pt idx="2">
                  <c:v>3</c:v>
                </c:pt>
                <c:pt idx="3">
                  <c:v>6</c:v>
                </c:pt>
                <c:pt idx="4">
                  <c:v>9</c:v>
                </c:pt>
                <c:pt idx="5">
                  <c:v>18</c:v>
                </c:pt>
                <c:pt idx="6">
                  <c:v>30</c:v>
                </c:pt>
                <c:pt idx="7">
                  <c:v>45</c:v>
                </c:pt>
                <c:pt idx="8">
                  <c:v>60</c:v>
                </c:pt>
                <c:pt idx="9">
                  <c:v>100</c:v>
                </c:pt>
              </c:numCache>
            </c:numRef>
          </c:xVal>
          <c:yVal>
            <c:numRef>
              <c:f>'Read 2'!$B$14:$K$14</c:f>
              <c:numCache>
                <c:formatCode>General</c:formatCode>
                <c:ptCount val="10"/>
                <c:pt idx="0">
                  <c:v>4.0666666666666663E-2</c:v>
                </c:pt>
                <c:pt idx="1">
                  <c:v>3.9E-2</c:v>
                </c:pt>
                <c:pt idx="2">
                  <c:v>4.6999999999999993E-2</c:v>
                </c:pt>
                <c:pt idx="3">
                  <c:v>5.2666666666666667E-2</c:v>
                </c:pt>
                <c:pt idx="4">
                  <c:v>5.9333333333333328E-2</c:v>
                </c:pt>
                <c:pt idx="5">
                  <c:v>7.8E-2</c:v>
                </c:pt>
                <c:pt idx="6">
                  <c:v>0.104</c:v>
                </c:pt>
                <c:pt idx="7">
                  <c:v>0.14366666666666669</c:v>
                </c:pt>
                <c:pt idx="8">
                  <c:v>0.17066666666666666</c:v>
                </c:pt>
                <c:pt idx="9">
                  <c:v>0.24249999999999999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DB-4C9E-9ED5-CB5E589421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7605040"/>
        <c:axId val="437600360"/>
      </c:scatterChart>
      <c:valAx>
        <c:axId val="437605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600360"/>
        <c:crosses val="autoZero"/>
        <c:crossBetween val="midCat"/>
      </c:valAx>
      <c:valAx>
        <c:axId val="437600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605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504825</xdr:colOff>
      <xdr:row>11</xdr:row>
      <xdr:rowOff>95250</xdr:rowOff>
    </xdr:from>
    <xdr:to>
      <xdr:col>10</xdr:col>
      <xdr:colOff>200025</xdr:colOff>
      <xdr:row>25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B86898-0725-5B87-D386-9F089331CC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161925</xdr:colOff>
      <xdr:row>14</xdr:row>
      <xdr:rowOff>161925</xdr:rowOff>
    </xdr:from>
    <xdr:to>
      <xdr:col>9</xdr:col>
      <xdr:colOff>466725</xdr:colOff>
      <xdr:row>29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10AE5F-06F6-4909-AE4E-0277686270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C4E6E-A93A-4DDF-B4A8-44A3FB2CBDCB}">
  <dimension ref="A1:N11"/>
  <sheetViews>
    <sheetView workbookViewId="0">
      <selection activeCell="M11" sqref="B10:M11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3.9E-2</v>
      </c>
      <c r="C2" s="3">
        <v>3.9E-2</v>
      </c>
      <c r="D2" s="3">
        <v>4.3999999999999997E-2</v>
      </c>
      <c r="E2" s="3">
        <v>5.6000000000000001E-2</v>
      </c>
      <c r="F2" s="3">
        <v>0.06</v>
      </c>
      <c r="G2" s="3">
        <v>8.5000000000000006E-2</v>
      </c>
      <c r="H2" s="3">
        <v>0.11700000000000001</v>
      </c>
      <c r="I2" s="3">
        <v>0.14799999999999999</v>
      </c>
      <c r="J2" s="3">
        <v>0.23</v>
      </c>
      <c r="K2" s="3">
        <v>0.311</v>
      </c>
      <c r="L2" s="3">
        <v>0.80400000000000005</v>
      </c>
      <c r="M2" s="3">
        <v>1.1459999999999999</v>
      </c>
      <c r="N2" s="4">
        <v>562</v>
      </c>
    </row>
    <row r="3" spans="1:14" x14ac:dyDescent="0.25">
      <c r="A3" s="2" t="s">
        <v>1</v>
      </c>
      <c r="B3" s="3">
        <v>3.9E-2</v>
      </c>
      <c r="C3" s="3">
        <v>3.9E-2</v>
      </c>
      <c r="D3" s="3">
        <v>4.3999999999999997E-2</v>
      </c>
      <c r="E3" s="3">
        <v>5.2999999999999999E-2</v>
      </c>
      <c r="F3" s="3">
        <v>6.0999999999999999E-2</v>
      </c>
      <c r="G3" s="3">
        <v>8.3000000000000004E-2</v>
      </c>
      <c r="H3" s="3">
        <v>0.129</v>
      </c>
      <c r="I3" s="3">
        <v>0.16200000000000001</v>
      </c>
      <c r="J3" s="3">
        <v>0.26300000000000001</v>
      </c>
      <c r="K3" s="3">
        <v>0.3</v>
      </c>
      <c r="L3" s="3">
        <v>0.75</v>
      </c>
      <c r="M3" s="3">
        <v>1.2430000000000001</v>
      </c>
      <c r="N3" s="4">
        <v>562</v>
      </c>
    </row>
    <row r="4" spans="1:14" x14ac:dyDescent="0.25">
      <c r="A4" s="2" t="s">
        <v>2</v>
      </c>
      <c r="B4" s="3">
        <v>3.9E-2</v>
      </c>
      <c r="C4" s="3">
        <v>3.7999999999999999E-2</v>
      </c>
      <c r="D4" s="3">
        <v>4.4999999999999998E-2</v>
      </c>
      <c r="E4" s="3">
        <v>5.3999999999999999E-2</v>
      </c>
      <c r="F4" s="3">
        <v>0.06</v>
      </c>
      <c r="G4" s="3">
        <v>8.4000000000000005E-2</v>
      </c>
      <c r="H4" s="3">
        <v>0.112</v>
      </c>
      <c r="I4" s="3">
        <v>0.15</v>
      </c>
      <c r="J4" s="3">
        <v>0.25900000000000001</v>
      </c>
      <c r="K4" s="3">
        <v>0.316</v>
      </c>
      <c r="L4" s="3">
        <v>0.65200000000000002</v>
      </c>
      <c r="M4" s="3">
        <v>1.204</v>
      </c>
      <c r="N4" s="4">
        <v>562</v>
      </c>
    </row>
    <row r="5" spans="1:14" x14ac:dyDescent="0.25">
      <c r="A5" s="2" t="s">
        <v>3</v>
      </c>
      <c r="B5" s="3">
        <v>3.9E-2</v>
      </c>
      <c r="C5" s="3">
        <v>3.7999999999999999E-2</v>
      </c>
      <c r="D5" s="3">
        <v>3.7999999999999999E-2</v>
      </c>
      <c r="E5" s="3">
        <v>3.7999999999999999E-2</v>
      </c>
      <c r="F5" s="3">
        <v>3.7999999999999999E-2</v>
      </c>
      <c r="G5" s="3">
        <v>3.7999999999999999E-2</v>
      </c>
      <c r="H5" s="3">
        <v>3.7999999999999999E-2</v>
      </c>
      <c r="I5" s="3">
        <v>3.7999999999999999E-2</v>
      </c>
      <c r="J5" s="3">
        <v>3.7999999999999999E-2</v>
      </c>
      <c r="K5" s="3">
        <v>4.7E-2</v>
      </c>
      <c r="L5" s="3">
        <v>4.7E-2</v>
      </c>
      <c r="M5" s="3">
        <v>4.7E-2</v>
      </c>
      <c r="N5" s="4">
        <v>562</v>
      </c>
    </row>
    <row r="6" spans="1:14" x14ac:dyDescent="0.25">
      <c r="A6" s="2" t="s">
        <v>4</v>
      </c>
      <c r="B6" s="3">
        <v>3.7999999999999999E-2</v>
      </c>
      <c r="C6" s="3">
        <v>3.7999999999999999E-2</v>
      </c>
      <c r="D6" s="3">
        <v>3.6999999999999998E-2</v>
      </c>
      <c r="E6" s="3">
        <v>3.6999999999999998E-2</v>
      </c>
      <c r="F6" s="3">
        <v>3.6999999999999998E-2</v>
      </c>
      <c r="G6" s="3">
        <v>3.6999999999999998E-2</v>
      </c>
      <c r="H6" s="3">
        <v>3.6999999999999998E-2</v>
      </c>
      <c r="I6" s="3">
        <v>3.7999999999999999E-2</v>
      </c>
      <c r="J6" s="3">
        <v>3.7999999999999999E-2</v>
      </c>
      <c r="K6" s="3">
        <v>4.7E-2</v>
      </c>
      <c r="L6" s="3">
        <v>4.7E-2</v>
      </c>
      <c r="M6" s="3">
        <v>4.8000000000000001E-2</v>
      </c>
      <c r="N6" s="4">
        <v>562</v>
      </c>
    </row>
    <row r="7" spans="1:14" x14ac:dyDescent="0.25">
      <c r="A7" s="2" t="s">
        <v>5</v>
      </c>
      <c r="B7" s="3">
        <v>3.9E-2</v>
      </c>
      <c r="C7" s="3">
        <v>3.6999999999999998E-2</v>
      </c>
      <c r="D7" s="3">
        <v>3.6999999999999998E-2</v>
      </c>
      <c r="E7" s="3">
        <v>3.7999999999999999E-2</v>
      </c>
      <c r="F7" s="3">
        <v>3.7999999999999999E-2</v>
      </c>
      <c r="G7" s="3">
        <v>3.9E-2</v>
      </c>
      <c r="H7" s="3">
        <v>0.04</v>
      </c>
      <c r="I7" s="3">
        <v>4.1000000000000002E-2</v>
      </c>
      <c r="J7" s="3">
        <v>4.2000000000000003E-2</v>
      </c>
      <c r="K7" s="3">
        <v>0.04</v>
      </c>
      <c r="L7" s="3">
        <v>4.1000000000000002E-2</v>
      </c>
      <c r="M7" s="3">
        <v>4.3999999999999997E-2</v>
      </c>
      <c r="N7" s="4">
        <v>562</v>
      </c>
    </row>
    <row r="8" spans="1:14" x14ac:dyDescent="0.25">
      <c r="A8" s="2" t="s">
        <v>6</v>
      </c>
      <c r="B8" s="3">
        <v>3.7999999999999999E-2</v>
      </c>
      <c r="C8" s="3">
        <v>3.6999999999999998E-2</v>
      </c>
      <c r="D8" s="3">
        <v>3.6999999999999998E-2</v>
      </c>
      <c r="E8" s="3">
        <v>3.7999999999999999E-2</v>
      </c>
      <c r="F8" s="3">
        <v>0.04</v>
      </c>
      <c r="G8" s="3">
        <v>0.04</v>
      </c>
      <c r="H8" s="3">
        <v>0.04</v>
      </c>
      <c r="I8" s="3">
        <v>4.2000000000000003E-2</v>
      </c>
      <c r="J8" s="3">
        <v>4.2000000000000003E-2</v>
      </c>
      <c r="K8" s="3">
        <v>0.04</v>
      </c>
      <c r="L8" s="3">
        <v>4.2000000000000003E-2</v>
      </c>
      <c r="M8" s="3">
        <v>4.5999999999999999E-2</v>
      </c>
      <c r="N8" s="4">
        <v>562</v>
      </c>
    </row>
    <row r="9" spans="1:14" x14ac:dyDescent="0.25">
      <c r="A9" s="2" t="s">
        <v>7</v>
      </c>
      <c r="B9" s="3">
        <v>3.9E-2</v>
      </c>
      <c r="C9" s="3">
        <v>3.7999999999999999E-2</v>
      </c>
      <c r="D9" s="3">
        <v>4.3999999999999997E-2</v>
      </c>
      <c r="E9" s="3">
        <v>4.2999999999999997E-2</v>
      </c>
      <c r="F9" s="3">
        <v>3.7999999999999999E-2</v>
      </c>
      <c r="G9" s="3">
        <v>3.9E-2</v>
      </c>
      <c r="H9" s="3">
        <v>0.04</v>
      </c>
      <c r="I9" s="3">
        <v>4.2000000000000003E-2</v>
      </c>
      <c r="J9" s="3">
        <v>4.2999999999999997E-2</v>
      </c>
      <c r="K9" s="3">
        <v>0.04</v>
      </c>
      <c r="L9" s="3">
        <v>4.1000000000000002E-2</v>
      </c>
      <c r="M9" s="3">
        <v>4.4999999999999998E-2</v>
      </c>
      <c r="N9" s="4">
        <v>562</v>
      </c>
    </row>
    <row r="10" spans="1:14" x14ac:dyDescent="0.25">
      <c r="B10" s="5">
        <v>0</v>
      </c>
      <c r="C10" s="5">
        <v>0.5</v>
      </c>
      <c r="D10" s="5">
        <v>3</v>
      </c>
      <c r="E10" s="5">
        <v>6</v>
      </c>
      <c r="F10" s="5">
        <v>9</v>
      </c>
      <c r="G10" s="5">
        <v>18</v>
      </c>
      <c r="H10" s="5">
        <v>30</v>
      </c>
      <c r="I10" s="5">
        <v>45</v>
      </c>
      <c r="J10" s="5">
        <v>60</v>
      </c>
      <c r="K10" s="5">
        <v>100</v>
      </c>
      <c r="L10" s="5">
        <v>250</v>
      </c>
      <c r="M10" s="5">
        <v>500</v>
      </c>
    </row>
    <row r="11" spans="1:14" x14ac:dyDescent="0.25">
      <c r="B11">
        <f>AVERAGE(B2:B4)</f>
        <v>3.9E-2</v>
      </c>
      <c r="C11">
        <f t="shared" ref="C11:M11" si="0">AVERAGE(C2:C4)</f>
        <v>3.8666666666666662E-2</v>
      </c>
      <c r="D11">
        <f t="shared" si="0"/>
        <v>4.4333333333333336E-2</v>
      </c>
      <c r="E11">
        <f t="shared" si="0"/>
        <v>5.4333333333333338E-2</v>
      </c>
      <c r="F11">
        <f t="shared" si="0"/>
        <v>6.0333333333333329E-2</v>
      </c>
      <c r="G11">
        <f t="shared" si="0"/>
        <v>8.4000000000000005E-2</v>
      </c>
      <c r="H11">
        <f t="shared" si="0"/>
        <v>0.11933333333333333</v>
      </c>
      <c r="I11">
        <f t="shared" si="0"/>
        <v>0.15333333333333332</v>
      </c>
      <c r="J11">
        <f>AVERAGE(J2:J4)</f>
        <v>0.25066666666666665</v>
      </c>
      <c r="K11">
        <f t="shared" si="0"/>
        <v>0.309</v>
      </c>
      <c r="L11">
        <f>AVERAGE(L3:L4)</f>
        <v>0.70100000000000007</v>
      </c>
      <c r="M11">
        <f t="shared" si="0"/>
        <v>1.1976666666666667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7852C-DA0E-45CB-A91B-22AF39D42987}">
  <dimension ref="A1:N14"/>
  <sheetViews>
    <sheetView tabSelected="1" topLeftCell="A4" workbookViewId="0">
      <selection activeCell="K15" sqref="K15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4.1000000000000002E-2</v>
      </c>
      <c r="C2" s="3">
        <v>4.1000000000000002E-2</v>
      </c>
      <c r="D2" s="3">
        <v>5.0999999999999997E-2</v>
      </c>
      <c r="E2" s="3">
        <v>6.8000000000000005E-2</v>
      </c>
      <c r="F2" s="3">
        <v>7.9000000000000001E-2</v>
      </c>
      <c r="G2" s="3">
        <v>0.123</v>
      </c>
      <c r="H2" s="3">
        <v>0.17199999999999999</v>
      </c>
      <c r="I2" s="3">
        <v>0.23499999999999999</v>
      </c>
      <c r="J2" s="3">
        <v>0.36899999999999999</v>
      </c>
      <c r="K2" s="3">
        <v>0.51200000000000001</v>
      </c>
      <c r="L2" s="3">
        <v>0.97099999999999997</v>
      </c>
      <c r="M2" s="3">
        <v>1.321</v>
      </c>
      <c r="N2" s="4">
        <v>562</v>
      </c>
    </row>
    <row r="3" spans="1:14" x14ac:dyDescent="0.25">
      <c r="A3" s="2" t="s">
        <v>1</v>
      </c>
      <c r="B3" s="3">
        <v>4.1000000000000002E-2</v>
      </c>
      <c r="C3" s="3">
        <v>0.04</v>
      </c>
      <c r="D3" s="3">
        <v>5.0999999999999997E-2</v>
      </c>
      <c r="E3" s="3">
        <v>6.5000000000000002E-2</v>
      </c>
      <c r="F3" s="3">
        <v>8.1000000000000003E-2</v>
      </c>
      <c r="G3" s="3">
        <v>0.114</v>
      </c>
      <c r="H3" s="3">
        <v>0.189</v>
      </c>
      <c r="I3" s="3">
        <v>0.24299999999999999</v>
      </c>
      <c r="J3" s="3">
        <v>0.39600000000000002</v>
      </c>
      <c r="K3" s="3">
        <v>0.47799999999999998</v>
      </c>
      <c r="L3" s="3">
        <v>0.91100000000000003</v>
      </c>
      <c r="M3" s="3">
        <v>1.377</v>
      </c>
      <c r="N3" s="4">
        <v>562</v>
      </c>
    </row>
    <row r="4" spans="1:14" x14ac:dyDescent="0.25">
      <c r="A4" s="2" t="s">
        <v>2</v>
      </c>
      <c r="B4" s="3">
        <v>4.1000000000000002E-2</v>
      </c>
      <c r="C4" s="3">
        <v>4.1000000000000002E-2</v>
      </c>
      <c r="D4" s="3">
        <v>5.1999999999999998E-2</v>
      </c>
      <c r="E4" s="3">
        <v>6.6000000000000003E-2</v>
      </c>
      <c r="F4" s="3">
        <v>7.6999999999999999E-2</v>
      </c>
      <c r="G4" s="3">
        <v>0.115</v>
      </c>
      <c r="H4" s="3">
        <v>0.17299999999999999</v>
      </c>
      <c r="I4" s="3">
        <v>0.23100000000000001</v>
      </c>
      <c r="J4" s="3">
        <v>0.38100000000000001</v>
      </c>
      <c r="K4" s="3">
        <v>0.47399999999999998</v>
      </c>
      <c r="L4" s="3">
        <v>0.93100000000000005</v>
      </c>
      <c r="M4" s="3">
        <v>1.32</v>
      </c>
      <c r="N4" s="4">
        <v>562</v>
      </c>
    </row>
    <row r="5" spans="1:14" x14ac:dyDescent="0.25">
      <c r="A5" s="2" t="s">
        <v>3</v>
      </c>
      <c r="B5" s="3">
        <v>0.04</v>
      </c>
      <c r="C5" s="3">
        <v>0.04</v>
      </c>
      <c r="D5" s="3">
        <v>0.04</v>
      </c>
      <c r="E5" s="3">
        <v>0.04</v>
      </c>
      <c r="F5" s="3">
        <v>0.04</v>
      </c>
      <c r="G5" s="3">
        <v>0.04</v>
      </c>
      <c r="H5" s="3">
        <v>0.04</v>
      </c>
      <c r="I5" s="3">
        <v>0.04</v>
      </c>
      <c r="J5" s="3">
        <v>0.04</v>
      </c>
      <c r="K5" s="3">
        <v>4.7E-2</v>
      </c>
      <c r="L5" s="3">
        <v>4.7E-2</v>
      </c>
      <c r="M5" s="3">
        <v>4.7E-2</v>
      </c>
      <c r="N5" s="4">
        <v>562</v>
      </c>
    </row>
    <row r="6" spans="1:14" x14ac:dyDescent="0.25">
      <c r="A6" s="2" t="s">
        <v>4</v>
      </c>
      <c r="B6" s="3">
        <v>0.04</v>
      </c>
      <c r="C6" s="3">
        <v>3.9E-2</v>
      </c>
      <c r="D6" s="3">
        <v>3.9E-2</v>
      </c>
      <c r="E6" s="3">
        <v>3.9E-2</v>
      </c>
      <c r="F6" s="3">
        <v>3.9E-2</v>
      </c>
      <c r="G6" s="3">
        <v>3.9E-2</v>
      </c>
      <c r="H6" s="3">
        <v>3.9E-2</v>
      </c>
      <c r="I6" s="3">
        <v>3.9E-2</v>
      </c>
      <c r="J6" s="3">
        <v>3.9E-2</v>
      </c>
      <c r="K6" s="3">
        <v>4.7E-2</v>
      </c>
      <c r="L6" s="3">
        <v>4.7E-2</v>
      </c>
      <c r="M6" s="3">
        <v>4.8000000000000001E-2</v>
      </c>
      <c r="N6" s="4">
        <v>562</v>
      </c>
    </row>
    <row r="7" spans="1:14" x14ac:dyDescent="0.25">
      <c r="A7" s="2" t="s">
        <v>5</v>
      </c>
      <c r="B7" s="3">
        <v>4.2000000000000003E-2</v>
      </c>
      <c r="C7" s="3">
        <v>3.9E-2</v>
      </c>
      <c r="D7" s="3">
        <v>4.3999999999999997E-2</v>
      </c>
      <c r="E7" s="3">
        <v>5.0999999999999997E-2</v>
      </c>
      <c r="F7" s="3">
        <v>5.8999999999999997E-2</v>
      </c>
      <c r="G7" s="3">
        <v>7.6999999999999999E-2</v>
      </c>
      <c r="H7" s="3">
        <v>0.10100000000000001</v>
      </c>
      <c r="I7" s="3">
        <v>0.128</v>
      </c>
      <c r="J7" s="3">
        <v>0.159</v>
      </c>
      <c r="K7" s="3">
        <v>0.221</v>
      </c>
      <c r="L7" s="3">
        <v>0.317</v>
      </c>
      <c r="M7" s="3">
        <v>0.36099999999999999</v>
      </c>
      <c r="N7" s="4">
        <v>562</v>
      </c>
    </row>
    <row r="8" spans="1:14" x14ac:dyDescent="0.25">
      <c r="A8" s="2" t="s">
        <v>6</v>
      </c>
      <c r="B8" s="3">
        <v>0.04</v>
      </c>
      <c r="C8" s="3">
        <v>3.9E-2</v>
      </c>
      <c r="D8" s="3">
        <v>4.4999999999999998E-2</v>
      </c>
      <c r="E8" s="3">
        <v>0.05</v>
      </c>
      <c r="F8" s="3">
        <v>0.06</v>
      </c>
      <c r="G8" s="3">
        <v>7.6999999999999999E-2</v>
      </c>
      <c r="H8" s="3">
        <v>0.106</v>
      </c>
      <c r="I8" s="3">
        <v>0.13600000000000001</v>
      </c>
      <c r="J8" s="3">
        <v>0.17399999999999999</v>
      </c>
      <c r="K8" s="3">
        <v>0.247</v>
      </c>
      <c r="L8" s="3">
        <v>0.36599999999999999</v>
      </c>
      <c r="M8" s="3">
        <v>0.39500000000000002</v>
      </c>
      <c r="N8" s="4">
        <v>562</v>
      </c>
    </row>
    <row r="9" spans="1:14" x14ac:dyDescent="0.25">
      <c r="A9" s="2" t="s">
        <v>7</v>
      </c>
      <c r="B9" s="3">
        <v>0.04</v>
      </c>
      <c r="C9" s="3">
        <v>3.9E-2</v>
      </c>
      <c r="D9" s="3">
        <v>5.1999999999999998E-2</v>
      </c>
      <c r="E9" s="3">
        <v>5.7000000000000002E-2</v>
      </c>
      <c r="F9" s="3">
        <v>5.8999999999999997E-2</v>
      </c>
      <c r="G9" s="3">
        <v>0.08</v>
      </c>
      <c r="H9" s="3">
        <v>0.105</v>
      </c>
      <c r="I9" s="3">
        <v>0.16700000000000001</v>
      </c>
      <c r="J9" s="3">
        <v>0.17899999999999999</v>
      </c>
      <c r="K9" s="3">
        <v>0.23799999999999999</v>
      </c>
      <c r="L9" s="3">
        <v>0.371</v>
      </c>
      <c r="M9" s="3">
        <v>0.435</v>
      </c>
      <c r="N9" s="4">
        <v>562</v>
      </c>
    </row>
    <row r="10" spans="1:14" x14ac:dyDescent="0.25">
      <c r="B10" s="5">
        <v>0</v>
      </c>
      <c r="C10" s="5">
        <v>0.5</v>
      </c>
      <c r="D10" s="5">
        <v>3</v>
      </c>
      <c r="E10" s="5">
        <v>6</v>
      </c>
      <c r="F10" s="5">
        <v>9</v>
      </c>
      <c r="G10" s="5">
        <v>18</v>
      </c>
      <c r="H10" s="5">
        <v>30</v>
      </c>
      <c r="I10" s="5">
        <v>45</v>
      </c>
      <c r="J10" s="5">
        <v>60</v>
      </c>
      <c r="K10" s="5">
        <v>100</v>
      </c>
      <c r="L10" s="5">
        <v>250</v>
      </c>
      <c r="M10" s="5">
        <v>500</v>
      </c>
    </row>
    <row r="11" spans="1:14" x14ac:dyDescent="0.25">
      <c r="B11">
        <f>AVERAGE(B2:B4)</f>
        <v>4.1000000000000002E-2</v>
      </c>
      <c r="C11">
        <f t="shared" ref="C11:M11" si="0">AVERAGE(C2:C4)</f>
        <v>4.0666666666666663E-2</v>
      </c>
      <c r="D11">
        <f t="shared" si="0"/>
        <v>5.1333333333333335E-2</v>
      </c>
      <c r="E11">
        <f t="shared" si="0"/>
        <v>6.6333333333333341E-2</v>
      </c>
      <c r="F11">
        <f t="shared" si="0"/>
        <v>7.9000000000000001E-2</v>
      </c>
      <c r="G11">
        <f t="shared" si="0"/>
        <v>0.11733333333333333</v>
      </c>
      <c r="H11">
        <f t="shared" si="0"/>
        <v>0.17800000000000002</v>
      </c>
      <c r="I11">
        <f t="shared" si="0"/>
        <v>0.23633333333333331</v>
      </c>
      <c r="J11">
        <f>AVERAGE(J2:J4)</f>
        <v>0.38199999999999995</v>
      </c>
      <c r="K11">
        <f t="shared" si="0"/>
        <v>0.48799999999999999</v>
      </c>
      <c r="L11">
        <f>AVERAGE(L3:L4)</f>
        <v>0.92100000000000004</v>
      </c>
      <c r="M11">
        <f t="shared" si="0"/>
        <v>1.3393333333333333</v>
      </c>
    </row>
    <row r="13" spans="1:14" x14ac:dyDescent="0.25">
      <c r="B13" s="5">
        <v>0</v>
      </c>
      <c r="C13" s="5">
        <v>0.5</v>
      </c>
      <c r="D13" s="5">
        <v>3</v>
      </c>
      <c r="E13" s="5">
        <v>6</v>
      </c>
      <c r="F13" s="5">
        <v>9</v>
      </c>
      <c r="G13" s="5">
        <v>18</v>
      </c>
      <c r="H13" s="5">
        <v>30</v>
      </c>
      <c r="I13" s="5">
        <v>45</v>
      </c>
      <c r="J13" s="5">
        <v>60</v>
      </c>
      <c r="K13" s="5">
        <v>100</v>
      </c>
      <c r="L13" s="5">
        <v>250</v>
      </c>
      <c r="M13" s="5">
        <v>500</v>
      </c>
    </row>
    <row r="14" spans="1:14" x14ac:dyDescent="0.25">
      <c r="B14">
        <f>AVERAGE(B7:B9)</f>
        <v>4.0666666666666663E-2</v>
      </c>
      <c r="C14">
        <f t="shared" ref="C14:M14" si="1">AVERAGE(C7:C9)</f>
        <v>3.9E-2</v>
      </c>
      <c r="D14">
        <f t="shared" si="1"/>
        <v>4.6999999999999993E-2</v>
      </c>
      <c r="E14">
        <f t="shared" si="1"/>
        <v>5.2666666666666667E-2</v>
      </c>
      <c r="F14">
        <f t="shared" si="1"/>
        <v>5.9333333333333328E-2</v>
      </c>
      <c r="G14">
        <f t="shared" si="1"/>
        <v>7.8E-2</v>
      </c>
      <c r="H14">
        <f t="shared" si="1"/>
        <v>0.104</v>
      </c>
      <c r="I14">
        <f t="shared" si="1"/>
        <v>0.14366666666666669</v>
      </c>
      <c r="J14">
        <f t="shared" si="1"/>
        <v>0.17066666666666666</v>
      </c>
      <c r="K14">
        <f>AVERAGE(K8:K9)</f>
        <v>0.24249999999999999</v>
      </c>
      <c r="L14">
        <f t="shared" si="1"/>
        <v>0.35133333333333333</v>
      </c>
      <c r="M14">
        <f t="shared" si="1"/>
        <v>0.39700000000000002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1</vt:lpstr>
      <vt:lpstr>Read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Giessner, Melanie</dc:creator>
  <cp:lastModifiedBy>Giessner, Melanie</cp:lastModifiedBy>
  <dcterms:created xsi:type="dcterms:W3CDTF">2024-04-25T15:11:23Z</dcterms:created>
  <dcterms:modified xsi:type="dcterms:W3CDTF">2024-04-25T15:40:05Z</dcterms:modified>
</cp:coreProperties>
</file>