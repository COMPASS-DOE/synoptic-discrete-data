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Biogeochemistry\COMPASS Synoptics\Samples &amp; Data\Porewater\FE\2023 Runs\"/>
    </mc:Choice>
  </mc:AlternateContent>
  <xr:revisionPtr revIDLastSave="0" documentId="8_{25EF8CCE-04A9-4C33-908D-436A4DD40C3C}" xr6:coauthVersionLast="47" xr6:coauthVersionMax="47" xr10:uidLastSave="{00000000-0000-0000-0000-000000000000}"/>
  <bookViews>
    <workbookView xWindow="3480" yWindow="1965" windowWidth="14910" windowHeight="11985" activeTab="1" xr2:uid="{06A6D229-F32B-4FE4-99D9-686489C26AFB}"/>
  </bookViews>
  <sheets>
    <sheet name="Read 1" sheetId="1" r:id="rId1"/>
    <sheet name="Read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7" i="2" l="1"/>
  <c r="I17" i="2"/>
  <c r="F17" i="2"/>
  <c r="C17" i="2"/>
  <c r="L16" i="2"/>
  <c r="I16" i="2"/>
  <c r="F16" i="2"/>
  <c r="C16" i="2"/>
  <c r="L15" i="2"/>
  <c r="I15" i="2"/>
  <c r="F15" i="2"/>
  <c r="C15" i="2"/>
  <c r="L14" i="2"/>
  <c r="I14" i="2"/>
  <c r="F14" i="2"/>
  <c r="C14" i="2"/>
  <c r="L13" i="2"/>
  <c r="I13" i="2"/>
  <c r="F13" i="2"/>
  <c r="C13" i="2"/>
  <c r="L12" i="2"/>
  <c r="I12" i="2"/>
  <c r="F12" i="2"/>
  <c r="C12" i="2"/>
  <c r="L11" i="2"/>
  <c r="I11" i="2"/>
  <c r="F11" i="2"/>
  <c r="C11" i="2"/>
  <c r="L10" i="2"/>
  <c r="I10" i="2"/>
  <c r="F10" i="2"/>
  <c r="C10" i="2"/>
  <c r="L17" i="1"/>
  <c r="L11" i="1"/>
  <c r="I13" i="1"/>
  <c r="I12" i="1"/>
  <c r="I14" i="1"/>
  <c r="I15" i="1"/>
  <c r="I17" i="1"/>
  <c r="L16" i="1"/>
  <c r="L15" i="1"/>
  <c r="L14" i="1"/>
  <c r="L13" i="1"/>
  <c r="L12" i="1"/>
  <c r="L10" i="1"/>
  <c r="I16" i="1"/>
  <c r="I11" i="1"/>
  <c r="I10" i="1"/>
  <c r="F17" i="1"/>
  <c r="F16" i="1"/>
  <c r="F15" i="1"/>
  <c r="F14" i="1"/>
  <c r="F13" i="1"/>
  <c r="F12" i="1"/>
  <c r="F11" i="1"/>
  <c r="F10" i="1"/>
  <c r="C11" i="1"/>
  <c r="C12" i="1"/>
  <c r="C13" i="1"/>
  <c r="C14" i="1"/>
  <c r="C15" i="1"/>
  <c r="C16" i="1"/>
  <c r="C17" i="1"/>
  <c r="C10" i="1"/>
</calcChain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<sst xmlns="http://schemas.openxmlformats.org/spreadsheetml/2006/main" count="16" uniqueCount="8">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</sst>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4BA33-12B4-4903-B4E9-30310EB727BE}">
  <dimension ref="A1:N17"/>
  <sheetViews>
    <sheetView workbookViewId="0">
      <selection activeCell="C10" sqref="C10:L17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0.20100000000000001</v>
      </c>
      <c r="C2" s="3">
        <v>0.20100000000000001</v>
      </c>
      <c r="D2" s="3">
        <v>0.19800000000000001</v>
      </c>
      <c r="E2" s="3">
        <v>0.372</v>
      </c>
      <c r="F2" s="3">
        <v>0.373</v>
      </c>
      <c r="G2" s="3">
        <v>0.34599999999999997</v>
      </c>
      <c r="H2" s="3">
        <v>1.181</v>
      </c>
      <c r="I2" s="3">
        <v>1.03</v>
      </c>
      <c r="J2" s="3">
        <v>0.75900000000000001</v>
      </c>
      <c r="K2" s="3">
        <v>0.92400000000000004</v>
      </c>
      <c r="L2" s="3">
        <v>0.85899999999999999</v>
      </c>
      <c r="M2" s="3">
        <v>1.3280000000000001</v>
      </c>
      <c r="N2" s="4">
        <v>562</v>
      </c>
    </row>
    <row r="3" spans="1:14" x14ac:dyDescent="0.25">
      <c r="A3" s="2" t="s">
        <v>1</v>
      </c>
      <c r="B3" s="3">
        <v>0.06</v>
      </c>
      <c r="C3" s="3">
        <v>6.0999999999999999E-2</v>
      </c>
      <c r="D3" s="3">
        <v>6.3E-2</v>
      </c>
      <c r="E3" s="3">
        <v>0.06</v>
      </c>
      <c r="F3" s="3">
        <v>6.0999999999999999E-2</v>
      </c>
      <c r="G3" s="3">
        <v>6.8000000000000005E-2</v>
      </c>
      <c r="H3" s="3">
        <v>1.7909999999999999</v>
      </c>
      <c r="I3" s="3">
        <v>1.4730000000000001</v>
      </c>
      <c r="J3" s="3">
        <v>1.5580000000000001</v>
      </c>
      <c r="K3" s="3">
        <v>0.86799999999999999</v>
      </c>
      <c r="L3" s="3">
        <v>1.528</v>
      </c>
      <c r="M3" s="3">
        <v>1.359</v>
      </c>
      <c r="N3" s="4">
        <v>562</v>
      </c>
    </row>
    <row r="4" spans="1:14" x14ac:dyDescent="0.25">
      <c r="A4" s="2" t="s">
        <v>2</v>
      </c>
      <c r="B4" s="3">
        <v>3.9E-2</v>
      </c>
      <c r="C4" s="3">
        <v>3.9E-2</v>
      </c>
      <c r="D4" s="3">
        <v>3.7999999999999999E-2</v>
      </c>
      <c r="E4" s="3">
        <v>0.35899999999999999</v>
      </c>
      <c r="F4" s="3">
        <v>0.34399999999999997</v>
      </c>
      <c r="G4" s="3">
        <v>0.33800000000000002</v>
      </c>
      <c r="H4" s="3">
        <v>0.25900000000000001</v>
      </c>
      <c r="I4" s="3">
        <v>0.40600000000000003</v>
      </c>
      <c r="J4" s="3">
        <v>0.38900000000000001</v>
      </c>
      <c r="K4" s="3">
        <v>5.0999999999999997E-2</v>
      </c>
      <c r="L4" s="3">
        <v>7.0999999999999994E-2</v>
      </c>
      <c r="M4" s="3">
        <v>5.0999999999999997E-2</v>
      </c>
      <c r="N4" s="4">
        <v>562</v>
      </c>
    </row>
    <row r="5" spans="1:14" x14ac:dyDescent="0.25">
      <c r="A5" s="2" t="s">
        <v>3</v>
      </c>
      <c r="B5" s="3">
        <v>3.7999999999999999E-2</v>
      </c>
      <c r="C5" s="3">
        <v>3.7999999999999999E-2</v>
      </c>
      <c r="D5" s="3">
        <v>3.7999999999999999E-2</v>
      </c>
      <c r="E5" s="3">
        <v>0.59699999999999998</v>
      </c>
      <c r="F5" s="3">
        <v>0.46600000000000003</v>
      </c>
      <c r="G5" s="3">
        <v>0.439</v>
      </c>
      <c r="H5" s="3">
        <v>0.17799999999999999</v>
      </c>
      <c r="I5" s="3">
        <v>0.20200000000000001</v>
      </c>
      <c r="J5" s="3">
        <v>0.41099999999999998</v>
      </c>
      <c r="K5" s="3">
        <v>4.2000000000000003E-2</v>
      </c>
      <c r="L5" s="3">
        <v>4.7E-2</v>
      </c>
      <c r="M5" s="3">
        <v>4.7E-2</v>
      </c>
      <c r="N5" s="4">
        <v>562</v>
      </c>
    </row>
    <row r="6" spans="1:14" x14ac:dyDescent="0.25">
      <c r="A6" s="2" t="s">
        <v>4</v>
      </c>
      <c r="B6" s="3">
        <v>4.2999999999999997E-2</v>
      </c>
      <c r="C6" s="3">
        <v>4.2000000000000003E-2</v>
      </c>
      <c r="D6" s="3">
        <v>4.2000000000000003E-2</v>
      </c>
      <c r="E6" s="3">
        <v>0.25700000000000001</v>
      </c>
      <c r="F6" s="3">
        <v>0.29799999999999999</v>
      </c>
      <c r="G6" s="3">
        <v>0.24299999999999999</v>
      </c>
      <c r="H6" s="3">
        <v>0.91300000000000003</v>
      </c>
      <c r="I6" s="3">
        <v>1.012</v>
      </c>
      <c r="J6" s="3">
        <v>0.68100000000000005</v>
      </c>
      <c r="K6" s="3">
        <v>0.04</v>
      </c>
      <c r="L6" s="3">
        <v>4.5999999999999999E-2</v>
      </c>
      <c r="M6" s="3">
        <v>4.2999999999999997E-2</v>
      </c>
      <c r="N6" s="4">
        <v>562</v>
      </c>
    </row>
    <row r="7" spans="1:14" x14ac:dyDescent="0.25">
      <c r="A7" s="2" t="s">
        <v>5</v>
      </c>
      <c r="B7" s="3">
        <v>0.04</v>
      </c>
      <c r="C7" s="3">
        <v>3.7999999999999999E-2</v>
      </c>
      <c r="D7" s="3">
        <v>4.1000000000000002E-2</v>
      </c>
      <c r="E7" s="3">
        <v>0.30499999999999999</v>
      </c>
      <c r="F7" s="3">
        <v>0.215</v>
      </c>
      <c r="G7" s="3">
        <v>0.217</v>
      </c>
      <c r="H7" s="3">
        <v>1.0489999999999999</v>
      </c>
      <c r="I7" s="3">
        <v>0.67200000000000004</v>
      </c>
      <c r="J7" s="3">
        <v>0.65700000000000003</v>
      </c>
      <c r="K7" s="3">
        <v>0.24099999999999999</v>
      </c>
      <c r="L7" s="3">
        <v>0.23499999999999999</v>
      </c>
      <c r="M7" s="3">
        <v>0.221</v>
      </c>
      <c r="N7" s="4">
        <v>562</v>
      </c>
    </row>
    <row r="8" spans="1:14" x14ac:dyDescent="0.25">
      <c r="A8" s="2" t="s">
        <v>6</v>
      </c>
      <c r="B8" s="3">
        <v>3.6999999999999998E-2</v>
      </c>
      <c r="C8" s="3">
        <v>3.7999999999999999E-2</v>
      </c>
      <c r="D8" s="3">
        <v>3.6999999999999998E-2</v>
      </c>
      <c r="E8" s="3">
        <v>0.20899999999999999</v>
      </c>
      <c r="F8" s="3">
        <v>0.16800000000000001</v>
      </c>
      <c r="G8" s="3">
        <v>0.36899999999999999</v>
      </c>
      <c r="H8" s="3">
        <v>1.371</v>
      </c>
      <c r="I8" s="3">
        <v>1.3680000000000001</v>
      </c>
      <c r="J8" s="3">
        <v>1.161</v>
      </c>
      <c r="K8" s="3">
        <v>1.18</v>
      </c>
      <c r="L8" s="3">
        <v>1.1859999999999999</v>
      </c>
      <c r="M8" s="3">
        <v>1.0960000000000001</v>
      </c>
      <c r="N8" s="4">
        <v>562</v>
      </c>
    </row>
    <row r="9" spans="1:14" x14ac:dyDescent="0.25">
      <c r="A9" s="2" t="s">
        <v>7</v>
      </c>
      <c r="B9" s="3">
        <v>3.7999999999999999E-2</v>
      </c>
      <c r="C9" s="3">
        <v>3.7999999999999999E-2</v>
      </c>
      <c r="D9" s="3">
        <v>3.6999999999999998E-2</v>
      </c>
      <c r="E9" s="3">
        <v>0.53100000000000003</v>
      </c>
      <c r="F9" s="3">
        <v>0.63500000000000001</v>
      </c>
      <c r="G9" s="3">
        <v>0.61</v>
      </c>
      <c r="H9" s="3">
        <v>6.5000000000000002E-2</v>
      </c>
      <c r="I9" s="3">
        <v>0.05</v>
      </c>
      <c r="J9" s="3">
        <v>5.0999999999999997E-2</v>
      </c>
      <c r="K9" s="3">
        <v>0.11899999999999999</v>
      </c>
      <c r="L9" s="3">
        <v>0.124</v>
      </c>
      <c r="M9" s="3">
        <v>0.113</v>
      </c>
      <c r="N9" s="4">
        <v>562</v>
      </c>
    </row>
    <row r="10" spans="1:14" x14ac:dyDescent="0.25">
      <c r="C10">
        <f>AVERAGE(B2:D2)</f>
        <v>0.20000000000000004</v>
      </c>
      <c r="F10">
        <f>AVERAGE(E2:G2)</f>
        <v>0.36366666666666664</v>
      </c>
      <c r="I10">
        <f>AVERAGE(H2:J2)</f>
        <v>0.9900000000000001</v>
      </c>
      <c r="L10">
        <f>AVERAGE(K2:M2)</f>
        <v>1.0369999999999999</v>
      </c>
    </row>
    <row r="11" spans="1:14" x14ac:dyDescent="0.25">
      <c r="C11">
        <f t="shared" ref="C11:C17" si="0">AVERAGE(B3:D3)</f>
        <v>6.133333333333333E-2</v>
      </c>
      <c r="F11">
        <f t="shared" ref="F11:F17" si="1">AVERAGE(E3:G3)</f>
        <v>6.3E-2</v>
      </c>
      <c r="I11">
        <f t="shared" ref="I11:I17" si="2">AVERAGE(H3:J3)</f>
        <v>1.6073333333333333</v>
      </c>
      <c r="L11">
        <f>AVERAGE(K3:M3)</f>
        <v>1.2516666666666667</v>
      </c>
    </row>
    <row r="12" spans="1:14" x14ac:dyDescent="0.25">
      <c r="C12">
        <f t="shared" si="0"/>
        <v>3.8666666666666662E-2</v>
      </c>
      <c r="F12">
        <f t="shared" si="1"/>
        <v>0.34699999999999998</v>
      </c>
      <c r="I12">
        <f>AVERAGE(H4:J4)</f>
        <v>0.35133333333333333</v>
      </c>
      <c r="L12">
        <f t="shared" ref="L11:L17" si="3">AVERAGE(K4:M4)</f>
        <v>5.7666666666666665E-2</v>
      </c>
    </row>
    <row r="13" spans="1:14" x14ac:dyDescent="0.25">
      <c r="C13">
        <f t="shared" si="0"/>
        <v>3.7999999999999999E-2</v>
      </c>
      <c r="F13">
        <f t="shared" si="1"/>
        <v>0.5006666666666667</v>
      </c>
      <c r="I13">
        <f>AVERAGE(H5:J5)</f>
        <v>0.26366666666666666</v>
      </c>
      <c r="L13">
        <f t="shared" si="3"/>
        <v>4.5333333333333337E-2</v>
      </c>
    </row>
    <row r="14" spans="1:14" x14ac:dyDescent="0.25">
      <c r="C14">
        <f t="shared" si="0"/>
        <v>4.2333333333333334E-2</v>
      </c>
      <c r="F14">
        <f t="shared" si="1"/>
        <v>0.26599999999999996</v>
      </c>
      <c r="I14">
        <f>AVERAGE(H6:J6)</f>
        <v>0.86866666666666659</v>
      </c>
      <c r="L14">
        <f t="shared" si="3"/>
        <v>4.3000000000000003E-2</v>
      </c>
    </row>
    <row r="15" spans="1:14" x14ac:dyDescent="0.25">
      <c r="C15">
        <f t="shared" si="0"/>
        <v>3.9666666666666663E-2</v>
      </c>
      <c r="F15">
        <f t="shared" si="1"/>
        <v>0.24566666666666667</v>
      </c>
      <c r="I15">
        <f>AVERAGE(H7:J7)</f>
        <v>0.79266666666666674</v>
      </c>
      <c r="L15">
        <f t="shared" si="3"/>
        <v>0.23233333333333331</v>
      </c>
    </row>
    <row r="16" spans="1:14" x14ac:dyDescent="0.25">
      <c r="C16">
        <f t="shared" si="0"/>
        <v>3.7333333333333329E-2</v>
      </c>
      <c r="F16">
        <f t="shared" si="1"/>
        <v>0.24866666666666667</v>
      </c>
      <c r="I16">
        <f t="shared" si="2"/>
        <v>1.3</v>
      </c>
      <c r="L16">
        <f t="shared" si="3"/>
        <v>1.1539999999999999</v>
      </c>
    </row>
    <row r="17" spans="3:12" x14ac:dyDescent="0.25">
      <c r="C17">
        <f t="shared" si="0"/>
        <v>3.7666666666666661E-2</v>
      </c>
      <c r="F17">
        <f t="shared" si="1"/>
        <v>0.59199999999999997</v>
      </c>
      <c r="I17">
        <f>AVERAGE(H9:J9)</f>
        <v>5.5333333333333339E-2</v>
      </c>
      <c r="L17">
        <f>AVERAGE(K9:M9)</f>
        <v>0.11866666666666666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18178-A46A-4511-918D-0A7C13D07315}">
  <dimension ref="A1:N17"/>
  <sheetViews>
    <sheetView tabSelected="1" workbookViewId="0">
      <selection activeCell="B10" sqref="B10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0.3</v>
      </c>
      <c r="C2" s="3">
        <v>0.28999999999999998</v>
      </c>
      <c r="D2" s="3">
        <v>0.30399999999999999</v>
      </c>
      <c r="E2" s="3">
        <v>0.52400000000000002</v>
      </c>
      <c r="F2" s="3">
        <v>0.55700000000000005</v>
      </c>
      <c r="G2" s="3">
        <v>0.56999999999999995</v>
      </c>
      <c r="H2" s="3">
        <v>1.488</v>
      </c>
      <c r="I2" s="3">
        <v>1.452</v>
      </c>
      <c r="J2" s="3">
        <v>1.391</v>
      </c>
      <c r="K2" s="3">
        <v>1.381</v>
      </c>
      <c r="L2" s="3">
        <v>1.5389999999999999</v>
      </c>
      <c r="M2" s="3">
        <v>1.647</v>
      </c>
      <c r="N2" s="4">
        <v>562</v>
      </c>
    </row>
    <row r="3" spans="1:14" x14ac:dyDescent="0.25">
      <c r="A3" s="2" t="s">
        <v>1</v>
      </c>
      <c r="B3" s="3">
        <v>7.6999999999999999E-2</v>
      </c>
      <c r="C3" s="3">
        <v>7.6999999999999999E-2</v>
      </c>
      <c r="D3" s="3">
        <v>7.6999999999999999E-2</v>
      </c>
      <c r="E3" s="3">
        <v>6.8000000000000005E-2</v>
      </c>
      <c r="F3" s="3">
        <v>6.8000000000000005E-2</v>
      </c>
      <c r="G3" s="3">
        <v>6.9000000000000006E-2</v>
      </c>
      <c r="H3" s="3">
        <v>1.8109999999999999</v>
      </c>
      <c r="I3" s="3">
        <v>1.7889999999999999</v>
      </c>
      <c r="J3" s="3">
        <v>1.83</v>
      </c>
      <c r="K3" s="3">
        <v>1.504</v>
      </c>
      <c r="L3" s="3">
        <v>1.7490000000000001</v>
      </c>
      <c r="M3" s="3">
        <v>1.728</v>
      </c>
      <c r="N3" s="4">
        <v>562</v>
      </c>
    </row>
    <row r="4" spans="1:14" x14ac:dyDescent="0.25">
      <c r="A4" s="2" t="s">
        <v>2</v>
      </c>
      <c r="B4" s="3">
        <v>4.1000000000000002E-2</v>
      </c>
      <c r="C4" s="3">
        <v>4.1000000000000002E-2</v>
      </c>
      <c r="D4" s="3">
        <v>0.04</v>
      </c>
      <c r="E4" s="3">
        <v>0.502</v>
      </c>
      <c r="F4" s="3">
        <v>0.42</v>
      </c>
      <c r="G4" s="3">
        <v>0.42899999999999999</v>
      </c>
      <c r="H4" s="3">
        <v>0.38200000000000001</v>
      </c>
      <c r="I4" s="3">
        <v>0.434</v>
      </c>
      <c r="J4" s="3">
        <v>0.40400000000000003</v>
      </c>
      <c r="K4" s="3">
        <v>5.1999999999999998E-2</v>
      </c>
      <c r="L4" s="3">
        <v>5.3999999999999999E-2</v>
      </c>
      <c r="M4" s="3">
        <v>5.0999999999999997E-2</v>
      </c>
      <c r="N4" s="4">
        <v>562</v>
      </c>
    </row>
    <row r="5" spans="1:14" x14ac:dyDescent="0.25">
      <c r="A5" s="2" t="s">
        <v>3</v>
      </c>
      <c r="B5" s="3">
        <v>3.9E-2</v>
      </c>
      <c r="C5" s="3">
        <v>0.04</v>
      </c>
      <c r="D5" s="3">
        <v>3.7999999999999999E-2</v>
      </c>
      <c r="E5" s="3">
        <v>0.85599999999999998</v>
      </c>
      <c r="F5" s="3">
        <v>0.68</v>
      </c>
      <c r="G5" s="3">
        <v>0.81</v>
      </c>
      <c r="H5" s="3">
        <v>0.318</v>
      </c>
      <c r="I5" s="3">
        <v>0.39300000000000002</v>
      </c>
      <c r="J5" s="3">
        <v>0.42899999999999999</v>
      </c>
      <c r="K5" s="3">
        <v>4.7E-2</v>
      </c>
      <c r="L5" s="3">
        <v>4.7E-2</v>
      </c>
      <c r="M5" s="3">
        <v>4.8000000000000001E-2</v>
      </c>
      <c r="N5" s="4">
        <v>562</v>
      </c>
    </row>
    <row r="6" spans="1:14" x14ac:dyDescent="0.25">
      <c r="A6" s="2" t="s">
        <v>4</v>
      </c>
      <c r="B6" s="3">
        <v>0.18</v>
      </c>
      <c r="C6" s="3">
        <v>0.19900000000000001</v>
      </c>
      <c r="D6" s="3">
        <v>0.17699999999999999</v>
      </c>
      <c r="E6" s="3">
        <v>0.43</v>
      </c>
      <c r="F6" s="3">
        <v>0.51400000000000001</v>
      </c>
      <c r="G6" s="3">
        <v>0.48599999999999999</v>
      </c>
      <c r="H6" s="3">
        <v>1.3859999999999999</v>
      </c>
      <c r="I6" s="3">
        <v>1.3879999999999999</v>
      </c>
      <c r="J6" s="3">
        <v>1.3109999999999999</v>
      </c>
      <c r="K6" s="3">
        <v>4.2000000000000003E-2</v>
      </c>
      <c r="L6" s="3">
        <v>4.5999999999999999E-2</v>
      </c>
      <c r="M6" s="3">
        <v>4.4999999999999998E-2</v>
      </c>
      <c r="N6" s="4">
        <v>562</v>
      </c>
    </row>
    <row r="7" spans="1:14" x14ac:dyDescent="0.25">
      <c r="A7" s="2" t="s">
        <v>5</v>
      </c>
      <c r="B7" s="3">
        <v>0.06</v>
      </c>
      <c r="C7" s="3">
        <v>5.7000000000000002E-2</v>
      </c>
      <c r="D7" s="3">
        <v>0.06</v>
      </c>
      <c r="E7" s="3">
        <v>0.48899999999999999</v>
      </c>
      <c r="F7" s="3">
        <v>0.376</v>
      </c>
      <c r="G7" s="3">
        <v>0.36</v>
      </c>
      <c r="H7" s="3">
        <v>1.175</v>
      </c>
      <c r="I7" s="3">
        <v>1.1220000000000001</v>
      </c>
      <c r="J7" s="3">
        <v>1.042</v>
      </c>
      <c r="K7" s="3">
        <v>0.26900000000000002</v>
      </c>
      <c r="L7" s="3">
        <v>0.25900000000000001</v>
      </c>
      <c r="M7" s="3">
        <v>0.24299999999999999</v>
      </c>
      <c r="N7" s="4">
        <v>562</v>
      </c>
    </row>
    <row r="8" spans="1:14" x14ac:dyDescent="0.25">
      <c r="A8" s="2" t="s">
        <v>6</v>
      </c>
      <c r="B8" s="3">
        <v>3.9E-2</v>
      </c>
      <c r="C8" s="3">
        <v>4.1000000000000002E-2</v>
      </c>
      <c r="D8" s="3">
        <v>3.9E-2</v>
      </c>
      <c r="E8" s="3">
        <v>0.34599999999999997</v>
      </c>
      <c r="F8" s="3">
        <v>0.28399999999999997</v>
      </c>
      <c r="G8" s="3">
        <v>0.40600000000000003</v>
      </c>
      <c r="H8" s="3">
        <v>1.7410000000000001</v>
      </c>
      <c r="I8" s="3">
        <v>1.7110000000000001</v>
      </c>
      <c r="J8" s="3">
        <v>1.655</v>
      </c>
      <c r="K8" s="3">
        <v>1.554</v>
      </c>
      <c r="L8" s="3">
        <v>1.71</v>
      </c>
      <c r="M8" s="3">
        <v>1.611</v>
      </c>
      <c r="N8" s="4">
        <v>562</v>
      </c>
    </row>
    <row r="9" spans="1:14" x14ac:dyDescent="0.25">
      <c r="A9" s="2" t="s">
        <v>7</v>
      </c>
      <c r="B9" s="3">
        <v>3.7999999999999999E-2</v>
      </c>
      <c r="C9" s="3">
        <v>3.7999999999999999E-2</v>
      </c>
      <c r="D9" s="3">
        <v>3.7999999999999999E-2</v>
      </c>
      <c r="E9" s="3">
        <v>0.59399999999999997</v>
      </c>
      <c r="F9" s="3">
        <v>0.65700000000000003</v>
      </c>
      <c r="G9" s="3">
        <v>0.61099999999999999</v>
      </c>
      <c r="H9" s="3">
        <v>6.7000000000000004E-2</v>
      </c>
      <c r="I9" s="3">
        <v>5.8000000000000003E-2</v>
      </c>
      <c r="J9" s="3">
        <v>5.8000000000000003E-2</v>
      </c>
      <c r="K9" s="3">
        <v>0.12</v>
      </c>
      <c r="L9" s="3">
        <v>0.12</v>
      </c>
      <c r="M9" s="3">
        <v>0.111</v>
      </c>
      <c r="N9" s="4">
        <v>562</v>
      </c>
    </row>
    <row r="10" spans="1:14" x14ac:dyDescent="0.25">
      <c r="C10">
        <f>AVERAGE(B2:D2)</f>
        <v>0.29799999999999999</v>
      </c>
      <c r="F10">
        <f>AVERAGE(E2:G2)</f>
        <v>0.55033333333333323</v>
      </c>
      <c r="I10">
        <f>AVERAGE(H2:J2)</f>
        <v>1.4436666666666664</v>
      </c>
      <c r="L10">
        <f>AVERAGE(K2:M2)</f>
        <v>1.5223333333333333</v>
      </c>
    </row>
    <row r="11" spans="1:14" x14ac:dyDescent="0.25">
      <c r="C11">
        <f t="shared" ref="C11:C17" si="0">AVERAGE(B3:D3)</f>
        <v>7.6999999999999999E-2</v>
      </c>
      <c r="F11">
        <f t="shared" ref="F11:F17" si="1">AVERAGE(E3:G3)</f>
        <v>6.8333333333333343E-2</v>
      </c>
      <c r="I11">
        <f t="shared" ref="I11:I16" si="2">AVERAGE(H3:J3)</f>
        <v>1.8099999999999998</v>
      </c>
      <c r="L11">
        <f>AVERAGE(K3:M3)</f>
        <v>1.6603333333333332</v>
      </c>
    </row>
    <row r="12" spans="1:14" x14ac:dyDescent="0.25">
      <c r="C12">
        <f t="shared" si="0"/>
        <v>4.0666666666666663E-2</v>
      </c>
      <c r="F12">
        <f t="shared" si="1"/>
        <v>0.45033333333333331</v>
      </c>
      <c r="I12">
        <f>AVERAGE(H4:J4)</f>
        <v>0.40666666666666673</v>
      </c>
      <c r="L12">
        <f t="shared" ref="L12:L16" si="3">AVERAGE(K4:M4)</f>
        <v>5.2333333333333336E-2</v>
      </c>
    </row>
    <row r="13" spans="1:14" x14ac:dyDescent="0.25">
      <c r="C13">
        <f t="shared" si="0"/>
        <v>3.9E-2</v>
      </c>
      <c r="F13">
        <f t="shared" si="1"/>
        <v>0.78200000000000003</v>
      </c>
      <c r="I13">
        <f>AVERAGE(H5:J5)</f>
        <v>0.38000000000000006</v>
      </c>
      <c r="L13">
        <f t="shared" si="3"/>
        <v>4.7333333333333338E-2</v>
      </c>
    </row>
    <row r="14" spans="1:14" x14ac:dyDescent="0.25">
      <c r="C14">
        <f t="shared" si="0"/>
        <v>0.18533333333333335</v>
      </c>
      <c r="F14">
        <f t="shared" si="1"/>
        <v>0.47666666666666663</v>
      </c>
      <c r="I14">
        <f>AVERAGE(H6:J6)</f>
        <v>1.3616666666666666</v>
      </c>
      <c r="L14">
        <f t="shared" si="3"/>
        <v>4.4333333333333336E-2</v>
      </c>
    </row>
    <row r="15" spans="1:14" x14ac:dyDescent="0.25">
      <c r="C15">
        <f t="shared" si="0"/>
        <v>5.8999999999999997E-2</v>
      </c>
      <c r="F15">
        <f t="shared" si="1"/>
        <v>0.40833333333333338</v>
      </c>
      <c r="I15">
        <f>AVERAGE(H7:J7)</f>
        <v>1.1130000000000002</v>
      </c>
      <c r="L15">
        <f t="shared" si="3"/>
        <v>0.25700000000000001</v>
      </c>
    </row>
    <row r="16" spans="1:14" x14ac:dyDescent="0.25">
      <c r="C16">
        <f t="shared" si="0"/>
        <v>3.9666666666666663E-2</v>
      </c>
      <c r="F16">
        <f t="shared" si="1"/>
        <v>0.34533333333333333</v>
      </c>
      <c r="I16">
        <f t="shared" si="2"/>
        <v>1.7023333333333335</v>
      </c>
      <c r="L16">
        <f t="shared" si="3"/>
        <v>1.625</v>
      </c>
    </row>
    <row r="17" spans="3:12" x14ac:dyDescent="0.25">
      <c r="C17">
        <f t="shared" si="0"/>
        <v>3.7999999999999999E-2</v>
      </c>
      <c r="F17">
        <f t="shared" si="1"/>
        <v>0.62066666666666659</v>
      </c>
      <c r="I17">
        <f>AVERAGE(H9:J9)</f>
        <v>6.0999999999999999E-2</v>
      </c>
      <c r="L17">
        <f>AVERAGE(K9:M9)</f>
        <v>0.11699999999999999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1</vt:lpstr>
      <vt:lpstr>Read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Giessner, Melanie</dc:creator>
  <cp:lastModifiedBy>Giessner, Melanie</cp:lastModifiedBy>
  <dcterms:created xsi:type="dcterms:W3CDTF">2024-03-06T20:53:47Z</dcterms:created>
  <dcterms:modified xsi:type="dcterms:W3CDTF">2024-03-06T21:16:31Z</dcterms:modified>
</cp:coreProperties>
</file>