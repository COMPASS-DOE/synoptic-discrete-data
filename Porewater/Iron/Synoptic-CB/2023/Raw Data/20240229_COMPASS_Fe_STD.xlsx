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Biogeochemistry\COMPASS Synoptics\Samples &amp; Data\Porewater\FE\2023 Runs\"/>
    </mc:Choice>
  </mc:AlternateContent>
  <xr:revisionPtr revIDLastSave="0" documentId="13_ncr:1_{CBA09D9F-C178-4E29-A61D-516B18D13FC9}" xr6:coauthVersionLast="47" xr6:coauthVersionMax="47" xr10:uidLastSave="{00000000-0000-0000-0000-000000000000}"/>
  <bookViews>
    <workbookView xWindow="4290" yWindow="1170" windowWidth="14910" windowHeight="11985" xr2:uid="{6FD48BE7-9E86-4CF1-905F-997CD559635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2" l="1"/>
  <c r="J15" i="2"/>
  <c r="K15" i="2"/>
  <c r="C15" i="2"/>
  <c r="D15" i="2"/>
  <c r="E15" i="2"/>
  <c r="F15" i="2"/>
  <c r="H15" i="2"/>
  <c r="I15" i="2"/>
  <c r="L15" i="2"/>
  <c r="M15" i="2"/>
  <c r="B15" i="2"/>
  <c r="B12" i="2"/>
  <c r="M12" i="2"/>
  <c r="L12" i="2"/>
  <c r="K12" i="2"/>
  <c r="J12" i="2"/>
  <c r="I12" i="2"/>
  <c r="H12" i="2"/>
  <c r="G12" i="2"/>
  <c r="F12" i="2"/>
  <c r="E12" i="2"/>
  <c r="D12" i="2"/>
  <c r="C12" i="2"/>
  <c r="B12" i="1"/>
  <c r="C12" i="1"/>
  <c r="D12" i="1"/>
  <c r="E12" i="1"/>
  <c r="F12" i="1"/>
  <c r="G12" i="1"/>
  <c r="H12" i="1"/>
  <c r="I12" i="1"/>
  <c r="J12" i="1"/>
  <c r="K12" i="1"/>
  <c r="L12" i="1"/>
  <c r="M12" i="1"/>
</calcChain>
</file>

<file path=xl/sharedStrings.xml><?xml version="1.0" encoding="utf-8"?>
<sst xmlns="http://schemas.openxmlformats.org/spreadsheetml/2006/main" count="16" uniqueCount="8">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</sst>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Sheet1!$B$11:$M$11</c:f>
              <c:numCache>
                <c:formatCode>General</c:formatCode>
                <c:ptCount val="12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  <c:pt idx="10">
                  <c:v>250</c:v>
                </c:pt>
                <c:pt idx="11">
                  <c:v>500</c:v>
                </c:pt>
              </c:numCache>
            </c:numRef>
          </c:xVal>
          <c:yVal>
            <c:numRef>
              <c:f>Sheet1!$B$12:$M$12</c:f>
              <c:numCache>
                <c:formatCode>General</c:formatCode>
                <c:ptCount val="12"/>
                <c:pt idx="0">
                  <c:v>3.7499999999999999E-2</c:v>
                </c:pt>
                <c:pt idx="1">
                  <c:v>4.0333333333333332E-2</c:v>
                </c:pt>
                <c:pt idx="2">
                  <c:v>4.4333333333333336E-2</c:v>
                </c:pt>
                <c:pt idx="3">
                  <c:v>5.5E-2</c:v>
                </c:pt>
                <c:pt idx="4">
                  <c:v>6.3333333333333339E-2</c:v>
                </c:pt>
                <c:pt idx="5">
                  <c:v>8.7666666666666671E-2</c:v>
                </c:pt>
                <c:pt idx="6">
                  <c:v>0.114</c:v>
                </c:pt>
                <c:pt idx="7">
                  <c:v>0.15833333333333333</c:v>
                </c:pt>
                <c:pt idx="8">
                  <c:v>0.20166666666666666</c:v>
                </c:pt>
                <c:pt idx="9">
                  <c:v>0.33133333333333331</c:v>
                </c:pt>
                <c:pt idx="10">
                  <c:v>0.66766666666666674</c:v>
                </c:pt>
                <c:pt idx="11">
                  <c:v>1.296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50-45A0-8CD2-31A6D218B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5995176"/>
        <c:axId val="445997336"/>
      </c:scatterChart>
      <c:valAx>
        <c:axId val="445995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997336"/>
        <c:crosses val="autoZero"/>
        <c:crossBetween val="midCat"/>
      </c:valAx>
      <c:valAx>
        <c:axId val="445997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9951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Sheet2!$B$14:$K$14</c:f>
              <c:numCache>
                <c:formatCode>General</c:formatCode>
                <c:ptCount val="10"/>
                <c:pt idx="0">
                  <c:v>0</c:v>
                </c:pt>
                <c:pt idx="1">
                  <c:v>0.6</c:v>
                </c:pt>
                <c:pt idx="2">
                  <c:v>3</c:v>
                </c:pt>
                <c:pt idx="3">
                  <c:v>6</c:v>
                </c:pt>
                <c:pt idx="4">
                  <c:v>9</c:v>
                </c:pt>
                <c:pt idx="5">
                  <c:v>18</c:v>
                </c:pt>
                <c:pt idx="6">
                  <c:v>30</c:v>
                </c:pt>
                <c:pt idx="7">
                  <c:v>45</c:v>
                </c:pt>
                <c:pt idx="8">
                  <c:v>60</c:v>
                </c:pt>
                <c:pt idx="9">
                  <c:v>100</c:v>
                </c:pt>
              </c:numCache>
            </c:numRef>
          </c:xVal>
          <c:yVal>
            <c:numRef>
              <c:f>Sheet2!$B$15:$K$15</c:f>
              <c:numCache>
                <c:formatCode>General</c:formatCode>
                <c:ptCount val="10"/>
                <c:pt idx="0">
                  <c:v>3.7333333333333329E-2</c:v>
                </c:pt>
                <c:pt idx="1">
                  <c:v>3.9333333333333331E-2</c:v>
                </c:pt>
                <c:pt idx="2">
                  <c:v>4.4333333333333336E-2</c:v>
                </c:pt>
                <c:pt idx="3">
                  <c:v>5.2333333333333336E-2</c:v>
                </c:pt>
                <c:pt idx="4">
                  <c:v>5.8666666666666666E-2</c:v>
                </c:pt>
                <c:pt idx="5">
                  <c:v>8.2000000000000003E-2</c:v>
                </c:pt>
                <c:pt idx="6">
                  <c:v>0.10433333333333333</c:v>
                </c:pt>
                <c:pt idx="7">
                  <c:v>0.12266666666666666</c:v>
                </c:pt>
                <c:pt idx="8">
                  <c:v>0.15133333333333332</c:v>
                </c:pt>
                <c:pt idx="9">
                  <c:v>0.23199999999999998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29-44AA-B830-BBE240ACB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52498632"/>
        <c:axId val="511419496"/>
      </c:scatterChart>
      <c:valAx>
        <c:axId val="352498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419496"/>
        <c:crosses val="autoZero"/>
        <c:crossBetween val="midCat"/>
      </c:valAx>
      <c:valAx>
        <c:axId val="511419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2498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142875</xdr:colOff>
      <xdr:row>13</xdr:row>
      <xdr:rowOff>38100</xdr:rowOff>
    </xdr:from>
    <xdr:to>
      <xdr:col>10</xdr:col>
      <xdr:colOff>447675</xdr:colOff>
      <xdr:row>27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819C5D-8A61-6F0A-011D-77E73FC0BF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447675</xdr:colOff>
      <xdr:row>15</xdr:row>
      <xdr:rowOff>47625</xdr:rowOff>
    </xdr:from>
    <xdr:to>
      <xdr:col>10</xdr:col>
      <xdr:colOff>142875</xdr:colOff>
      <xdr:row>29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8D4046-9DF6-2C2B-6643-11343B1FAB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05D56-FF90-4DB7-91B9-C2C1FE36B270}">
  <dimension ref="A1:N12"/>
  <sheetViews>
    <sheetView tabSelected="1" workbookViewId="0">
      <selection activeCell="M11" sqref="B11:M12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3.6999999999999998E-2</v>
      </c>
      <c r="C2" s="3">
        <v>0.04</v>
      </c>
      <c r="D2" s="3">
        <v>4.3999999999999997E-2</v>
      </c>
      <c r="E2" s="3">
        <v>5.5E-2</v>
      </c>
      <c r="F2" s="3">
        <v>0.06</v>
      </c>
      <c r="G2" s="3">
        <v>8.8999999999999996E-2</v>
      </c>
      <c r="H2" s="3">
        <v>0.111</v>
      </c>
      <c r="I2" s="3">
        <v>0.152</v>
      </c>
      <c r="J2" s="3">
        <v>0.185</v>
      </c>
      <c r="K2" s="3">
        <v>0.31900000000000001</v>
      </c>
      <c r="L2" s="3">
        <v>0.58299999999999996</v>
      </c>
      <c r="M2" s="3">
        <v>1.262</v>
      </c>
      <c r="N2" s="4">
        <v>562</v>
      </c>
    </row>
    <row r="3" spans="1:14" x14ac:dyDescent="0.25">
      <c r="A3" s="2" t="s">
        <v>1</v>
      </c>
      <c r="B3" s="3">
        <v>0.17299999999999999</v>
      </c>
      <c r="C3" s="3">
        <v>4.2000000000000003E-2</v>
      </c>
      <c r="D3" s="3">
        <v>4.4999999999999998E-2</v>
      </c>
      <c r="E3" s="3">
        <v>5.5E-2</v>
      </c>
      <c r="F3" s="3">
        <v>6.7000000000000004E-2</v>
      </c>
      <c r="G3" s="3">
        <v>8.6999999999999994E-2</v>
      </c>
      <c r="H3" s="3">
        <v>0.11600000000000001</v>
      </c>
      <c r="I3" s="3">
        <v>0.158</v>
      </c>
      <c r="J3" s="3">
        <v>0.22600000000000001</v>
      </c>
      <c r="K3" s="3">
        <v>0.314</v>
      </c>
      <c r="L3" s="3">
        <v>0.66800000000000004</v>
      </c>
      <c r="M3" s="3">
        <v>1.323</v>
      </c>
      <c r="N3" s="4">
        <v>562</v>
      </c>
    </row>
    <row r="4" spans="1:14" x14ac:dyDescent="0.25">
      <c r="A4" s="2" t="s">
        <v>2</v>
      </c>
      <c r="B4" s="3">
        <v>3.7999999999999999E-2</v>
      </c>
      <c r="C4" s="3">
        <v>3.9E-2</v>
      </c>
      <c r="D4" s="3">
        <v>4.3999999999999997E-2</v>
      </c>
      <c r="E4" s="3">
        <v>5.5E-2</v>
      </c>
      <c r="F4" s="3">
        <v>6.3E-2</v>
      </c>
      <c r="G4" s="3">
        <v>8.6999999999999994E-2</v>
      </c>
      <c r="H4" s="3">
        <v>0.115</v>
      </c>
      <c r="I4" s="3">
        <v>0.16500000000000001</v>
      </c>
      <c r="J4" s="3">
        <v>0.19400000000000001</v>
      </c>
      <c r="K4" s="3">
        <v>0.36099999999999999</v>
      </c>
      <c r="L4" s="3">
        <v>0.752</v>
      </c>
      <c r="M4" s="3">
        <v>1.3029999999999999</v>
      </c>
      <c r="N4" s="4">
        <v>562</v>
      </c>
    </row>
    <row r="5" spans="1:14" x14ac:dyDescent="0.25">
      <c r="A5" s="2" t="s">
        <v>3</v>
      </c>
      <c r="B5" s="3">
        <v>3.9E-2</v>
      </c>
      <c r="C5" s="3">
        <v>3.9E-2</v>
      </c>
      <c r="D5" s="3">
        <v>3.9E-2</v>
      </c>
      <c r="E5" s="3">
        <v>3.9E-2</v>
      </c>
      <c r="F5" s="3">
        <v>3.9E-2</v>
      </c>
      <c r="G5" s="3">
        <v>0.04</v>
      </c>
      <c r="H5" s="3">
        <v>3.9E-2</v>
      </c>
      <c r="I5" s="3">
        <v>3.9E-2</v>
      </c>
      <c r="J5" s="3">
        <v>0.04</v>
      </c>
      <c r="K5" s="3">
        <v>4.7E-2</v>
      </c>
      <c r="L5" s="3">
        <v>4.7E-2</v>
      </c>
      <c r="M5" s="3">
        <v>4.7E-2</v>
      </c>
      <c r="N5" s="4">
        <v>562</v>
      </c>
    </row>
    <row r="6" spans="1:14" x14ac:dyDescent="0.25">
      <c r="A6" s="2" t="s">
        <v>4</v>
      </c>
      <c r="B6" s="3">
        <v>3.6999999999999998E-2</v>
      </c>
      <c r="C6" s="3">
        <v>3.6999999999999998E-2</v>
      </c>
      <c r="D6" s="3">
        <v>3.6999999999999998E-2</v>
      </c>
      <c r="E6" s="3">
        <v>3.6999999999999998E-2</v>
      </c>
      <c r="F6" s="3">
        <v>3.7999999999999999E-2</v>
      </c>
      <c r="G6" s="3">
        <v>3.6999999999999998E-2</v>
      </c>
      <c r="H6" s="3">
        <v>3.6999999999999998E-2</v>
      </c>
      <c r="I6" s="3">
        <v>3.6999999999999998E-2</v>
      </c>
      <c r="J6" s="3">
        <v>3.6999999999999998E-2</v>
      </c>
      <c r="K6" s="3">
        <v>4.7E-2</v>
      </c>
      <c r="L6" s="3">
        <v>4.5999999999999999E-2</v>
      </c>
      <c r="M6" s="3">
        <v>4.7E-2</v>
      </c>
      <c r="N6" s="4">
        <v>562</v>
      </c>
    </row>
    <row r="7" spans="1:14" x14ac:dyDescent="0.25">
      <c r="A7" s="2" t="s">
        <v>5</v>
      </c>
      <c r="B7" s="3">
        <v>3.6999999999999998E-2</v>
      </c>
      <c r="C7" s="3">
        <v>3.7999999999999999E-2</v>
      </c>
      <c r="D7" s="3">
        <v>3.6999999999999998E-2</v>
      </c>
      <c r="E7" s="3">
        <v>3.7999999999999999E-2</v>
      </c>
      <c r="F7" s="3">
        <v>3.7999999999999999E-2</v>
      </c>
      <c r="G7" s="3">
        <v>3.7999999999999999E-2</v>
      </c>
      <c r="H7" s="3">
        <v>3.9E-2</v>
      </c>
      <c r="I7" s="3">
        <v>4.1000000000000002E-2</v>
      </c>
      <c r="J7" s="3">
        <v>3.9E-2</v>
      </c>
      <c r="K7" s="3">
        <v>3.9E-2</v>
      </c>
      <c r="L7" s="3">
        <v>4.1000000000000002E-2</v>
      </c>
      <c r="M7" s="3">
        <v>4.2999999999999997E-2</v>
      </c>
      <c r="N7" s="4">
        <v>562</v>
      </c>
    </row>
    <row r="8" spans="1:14" x14ac:dyDescent="0.25">
      <c r="A8" s="2" t="s">
        <v>6</v>
      </c>
      <c r="B8" s="3">
        <v>3.6999999999999998E-2</v>
      </c>
      <c r="C8" s="3">
        <v>3.6999999999999998E-2</v>
      </c>
      <c r="D8" s="3">
        <v>3.6999999999999998E-2</v>
      </c>
      <c r="E8" s="3">
        <v>3.6999999999999998E-2</v>
      </c>
      <c r="F8" s="3">
        <v>3.9E-2</v>
      </c>
      <c r="G8" s="3">
        <v>3.7999999999999999E-2</v>
      </c>
      <c r="H8" s="3">
        <v>3.9E-2</v>
      </c>
      <c r="I8" s="3">
        <v>4.1000000000000002E-2</v>
      </c>
      <c r="J8" s="3">
        <v>3.9E-2</v>
      </c>
      <c r="K8" s="3">
        <v>3.9E-2</v>
      </c>
      <c r="L8" s="3">
        <v>4.1000000000000002E-2</v>
      </c>
      <c r="M8" s="3">
        <v>4.3999999999999997E-2</v>
      </c>
      <c r="N8" s="4">
        <v>562</v>
      </c>
    </row>
    <row r="9" spans="1:14" x14ac:dyDescent="0.25">
      <c r="A9" s="2" t="s">
        <v>7</v>
      </c>
      <c r="B9" s="3">
        <v>3.7999999999999999E-2</v>
      </c>
      <c r="C9" s="3">
        <v>3.7999999999999999E-2</v>
      </c>
      <c r="D9" s="3">
        <v>3.6999999999999998E-2</v>
      </c>
      <c r="E9" s="3">
        <v>3.9E-2</v>
      </c>
      <c r="F9" s="3">
        <v>3.7999999999999999E-2</v>
      </c>
      <c r="G9" s="3">
        <v>0.04</v>
      </c>
      <c r="H9" s="3">
        <v>4.3999999999999997E-2</v>
      </c>
      <c r="I9" s="3">
        <v>4.1000000000000002E-2</v>
      </c>
      <c r="J9" s="3">
        <v>0.04</v>
      </c>
      <c r="K9" s="3">
        <v>3.9E-2</v>
      </c>
      <c r="L9" s="3">
        <v>4.1000000000000002E-2</v>
      </c>
      <c r="M9" s="3">
        <v>4.4999999999999998E-2</v>
      </c>
      <c r="N9" s="4">
        <v>562</v>
      </c>
    </row>
    <row r="11" spans="1:14" x14ac:dyDescent="0.25">
      <c r="B11" s="10">
        <v>0</v>
      </c>
      <c r="C11" s="10">
        <v>0.6</v>
      </c>
      <c r="D11" s="10">
        <v>3</v>
      </c>
      <c r="E11" s="10">
        <v>6</v>
      </c>
      <c r="F11" s="10">
        <v>9</v>
      </c>
      <c r="G11" s="10">
        <v>18</v>
      </c>
      <c r="H11" s="10">
        <v>30</v>
      </c>
      <c r="I11" s="10">
        <v>45</v>
      </c>
      <c r="J11" s="10">
        <v>60</v>
      </c>
      <c r="K11" s="10">
        <v>100</v>
      </c>
      <c r="L11" s="10">
        <v>250</v>
      </c>
      <c r="M11" s="10">
        <v>500</v>
      </c>
    </row>
    <row r="12" spans="1:14" x14ac:dyDescent="0.25">
      <c r="B12" s="5">
        <f>AVERAGE(B2,B4)</f>
        <v>3.7499999999999999E-2</v>
      </c>
      <c r="C12" s="5">
        <f t="shared" ref="C12:M12" si="0">AVERAGE(C2:C4)</f>
        <v>4.0333333333333332E-2</v>
      </c>
      <c r="D12" s="5">
        <f t="shared" si="0"/>
        <v>4.4333333333333336E-2</v>
      </c>
      <c r="E12" s="5">
        <f t="shared" si="0"/>
        <v>5.5E-2</v>
      </c>
      <c r="F12" s="5">
        <f t="shared" si="0"/>
        <v>6.3333333333333339E-2</v>
      </c>
      <c r="G12" s="5">
        <f t="shared" si="0"/>
        <v>8.7666666666666671E-2</v>
      </c>
      <c r="H12" s="5">
        <f t="shared" si="0"/>
        <v>0.114</v>
      </c>
      <c r="I12" s="5">
        <f t="shared" si="0"/>
        <v>0.15833333333333333</v>
      </c>
      <c r="J12" s="5">
        <f t="shared" si="0"/>
        <v>0.20166666666666666</v>
      </c>
      <c r="K12" s="5">
        <f t="shared" si="0"/>
        <v>0.33133333333333331</v>
      </c>
      <c r="L12" s="5">
        <f t="shared" si="0"/>
        <v>0.66766666666666674</v>
      </c>
      <c r="M12" s="5">
        <f t="shared" si="0"/>
        <v>1.296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9F784-ED30-49B0-B381-436206C67214}">
  <dimension ref="A1:N15"/>
  <sheetViews>
    <sheetView topLeftCell="A4" workbookViewId="0">
      <selection activeCell="B17" sqref="B17"/>
    </sheetView>
  </sheetViews>
  <sheetFormatPr defaultRowHeight="15" x14ac:dyDescent="0.25"/>
  <sheetData>
    <row r="1" spans="1:14" x14ac:dyDescent="0.25">
      <c r="A1" s="6"/>
      <c r="B1" s="7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</row>
    <row r="2" spans="1:14" x14ac:dyDescent="0.25">
      <c r="A2" s="7" t="s">
        <v>0</v>
      </c>
      <c r="B2" s="8">
        <v>3.7999999999999999E-2</v>
      </c>
      <c r="C2" s="8">
        <v>4.1000000000000002E-2</v>
      </c>
      <c r="D2" s="8">
        <v>5.0999999999999997E-2</v>
      </c>
      <c r="E2" s="8">
        <v>6.8000000000000005E-2</v>
      </c>
      <c r="F2" s="8">
        <v>7.9000000000000001E-2</v>
      </c>
      <c r="G2" s="8">
        <v>0.12</v>
      </c>
      <c r="H2" s="8">
        <v>0.19</v>
      </c>
      <c r="I2" s="8">
        <v>0.23899999999999999</v>
      </c>
      <c r="J2" s="8">
        <v>0.28699999999999998</v>
      </c>
      <c r="K2" s="8">
        <v>0.496</v>
      </c>
      <c r="L2" s="8">
        <v>0.81</v>
      </c>
      <c r="M2" s="8">
        <v>1.274</v>
      </c>
      <c r="N2" s="9">
        <v>562</v>
      </c>
    </row>
    <row r="3" spans="1:14" x14ac:dyDescent="0.25">
      <c r="A3" s="7" t="s">
        <v>1</v>
      </c>
      <c r="B3" s="8">
        <v>3.7999999999999999E-2</v>
      </c>
      <c r="C3" s="8">
        <v>4.4999999999999998E-2</v>
      </c>
      <c r="D3" s="8">
        <v>5.1999999999999998E-2</v>
      </c>
      <c r="E3" s="8">
        <v>7.0000000000000007E-2</v>
      </c>
      <c r="F3" s="8">
        <v>8.5999999999999993E-2</v>
      </c>
      <c r="G3" s="8">
        <v>0.11700000000000001</v>
      </c>
      <c r="H3" s="8">
        <v>0.17199999999999999</v>
      </c>
      <c r="I3" s="8">
        <v>0.25600000000000001</v>
      </c>
      <c r="J3" s="8">
        <v>0.32500000000000001</v>
      </c>
      <c r="K3" s="8">
        <v>0.495</v>
      </c>
      <c r="L3" s="8">
        <v>0.89</v>
      </c>
      <c r="M3" s="8">
        <v>1.4139999999999999</v>
      </c>
      <c r="N3" s="9">
        <v>562</v>
      </c>
    </row>
    <row r="4" spans="1:14" x14ac:dyDescent="0.25">
      <c r="A4" s="7" t="s">
        <v>2</v>
      </c>
      <c r="B4" s="8">
        <v>3.7999999999999999E-2</v>
      </c>
      <c r="C4" s="8">
        <v>4.3999999999999997E-2</v>
      </c>
      <c r="D4" s="8">
        <v>5.0999999999999997E-2</v>
      </c>
      <c r="E4" s="8">
        <v>6.8000000000000005E-2</v>
      </c>
      <c r="F4" s="8">
        <v>7.9000000000000001E-2</v>
      </c>
      <c r="G4" s="8">
        <v>0.12</v>
      </c>
      <c r="H4" s="8">
        <v>0.18099999999999999</v>
      </c>
      <c r="I4" s="8">
        <v>0.23699999999999999</v>
      </c>
      <c r="J4" s="8">
        <v>0.29799999999999999</v>
      </c>
      <c r="K4" s="8">
        <v>0.53900000000000003</v>
      </c>
      <c r="L4" s="8">
        <v>0.91300000000000003</v>
      </c>
      <c r="M4" s="8">
        <v>1.288</v>
      </c>
      <c r="N4" s="9">
        <v>562</v>
      </c>
    </row>
    <row r="5" spans="1:14" x14ac:dyDescent="0.25">
      <c r="A5" s="7" t="s">
        <v>3</v>
      </c>
      <c r="B5" s="8">
        <v>4.1000000000000002E-2</v>
      </c>
      <c r="C5" s="8">
        <v>0.04</v>
      </c>
      <c r="D5" s="8">
        <v>4.2000000000000003E-2</v>
      </c>
      <c r="E5" s="8">
        <v>4.1000000000000002E-2</v>
      </c>
      <c r="F5" s="8">
        <v>4.1000000000000002E-2</v>
      </c>
      <c r="G5" s="8">
        <v>4.2000000000000003E-2</v>
      </c>
      <c r="H5" s="8">
        <v>4.1000000000000002E-2</v>
      </c>
      <c r="I5" s="8">
        <v>4.1000000000000002E-2</v>
      </c>
      <c r="J5" s="8">
        <v>4.1000000000000002E-2</v>
      </c>
      <c r="K5" s="8">
        <v>4.7E-2</v>
      </c>
      <c r="L5" s="8">
        <v>4.7E-2</v>
      </c>
      <c r="M5" s="8">
        <v>4.7E-2</v>
      </c>
      <c r="N5" s="9">
        <v>562</v>
      </c>
    </row>
    <row r="6" spans="1:14" x14ac:dyDescent="0.25">
      <c r="A6" s="7" t="s">
        <v>4</v>
      </c>
      <c r="B6" s="8">
        <v>3.9E-2</v>
      </c>
      <c r="C6" s="8">
        <v>3.9E-2</v>
      </c>
      <c r="D6" s="8">
        <v>3.9E-2</v>
      </c>
      <c r="E6" s="8">
        <v>4.1000000000000002E-2</v>
      </c>
      <c r="F6" s="8">
        <v>0.04</v>
      </c>
      <c r="G6" s="8">
        <v>3.9E-2</v>
      </c>
      <c r="H6" s="8">
        <v>3.9E-2</v>
      </c>
      <c r="I6" s="8">
        <v>3.9E-2</v>
      </c>
      <c r="J6" s="8">
        <v>0.04</v>
      </c>
      <c r="K6" s="8">
        <v>4.7E-2</v>
      </c>
      <c r="L6" s="8">
        <v>4.7E-2</v>
      </c>
      <c r="M6" s="8">
        <v>4.7E-2</v>
      </c>
      <c r="N6" s="9">
        <v>562</v>
      </c>
    </row>
    <row r="7" spans="1:14" x14ac:dyDescent="0.25">
      <c r="A7" s="7" t="s">
        <v>5</v>
      </c>
      <c r="B7" s="8">
        <v>3.6999999999999998E-2</v>
      </c>
      <c r="C7" s="8">
        <v>0.04</v>
      </c>
      <c r="D7" s="8">
        <v>4.5999999999999999E-2</v>
      </c>
      <c r="E7" s="8">
        <v>5.2999999999999999E-2</v>
      </c>
      <c r="F7" s="8">
        <v>5.7000000000000002E-2</v>
      </c>
      <c r="G7" s="8">
        <v>9.8000000000000004E-2</v>
      </c>
      <c r="H7" s="8">
        <v>0.1</v>
      </c>
      <c r="I7" s="8">
        <v>0.121</v>
      </c>
      <c r="J7" s="8">
        <v>0.17199999999999999</v>
      </c>
      <c r="K7" s="8">
        <v>0.21099999999999999</v>
      </c>
      <c r="L7" s="8">
        <v>0.26800000000000002</v>
      </c>
      <c r="M7" s="8">
        <v>0.32900000000000001</v>
      </c>
      <c r="N7" s="9">
        <v>562</v>
      </c>
    </row>
    <row r="8" spans="1:14" x14ac:dyDescent="0.25">
      <c r="A8" s="7" t="s">
        <v>6</v>
      </c>
      <c r="B8" s="8">
        <v>3.6999999999999998E-2</v>
      </c>
      <c r="C8" s="8">
        <v>3.9E-2</v>
      </c>
      <c r="D8" s="8">
        <v>4.3999999999999997E-2</v>
      </c>
      <c r="E8" s="8">
        <v>0.05</v>
      </c>
      <c r="F8" s="8">
        <v>5.8000000000000003E-2</v>
      </c>
      <c r="G8" s="8">
        <v>7.9000000000000001E-2</v>
      </c>
      <c r="H8" s="8">
        <v>9.7000000000000003E-2</v>
      </c>
      <c r="I8" s="8">
        <v>0.12</v>
      </c>
      <c r="J8" s="8">
        <v>0.14399999999999999</v>
      </c>
      <c r="K8" s="8">
        <v>0.22600000000000001</v>
      </c>
      <c r="L8" s="8">
        <v>0.30299999999999999</v>
      </c>
      <c r="M8" s="8">
        <v>0.33300000000000002</v>
      </c>
      <c r="N8" s="9">
        <v>562</v>
      </c>
    </row>
    <row r="9" spans="1:14" x14ac:dyDescent="0.25">
      <c r="A9" s="7" t="s">
        <v>7</v>
      </c>
      <c r="B9" s="8">
        <v>3.7999999999999999E-2</v>
      </c>
      <c r="C9" s="8">
        <v>3.9E-2</v>
      </c>
      <c r="D9" s="8">
        <v>4.2999999999999997E-2</v>
      </c>
      <c r="E9" s="8">
        <v>5.3999999999999999E-2</v>
      </c>
      <c r="F9" s="8">
        <v>6.0999999999999999E-2</v>
      </c>
      <c r="G9" s="8">
        <v>8.5000000000000006E-2</v>
      </c>
      <c r="H9" s="8">
        <v>0.11600000000000001</v>
      </c>
      <c r="I9" s="8">
        <v>0.127</v>
      </c>
      <c r="J9" s="8">
        <v>0.13800000000000001</v>
      </c>
      <c r="K9" s="8">
        <v>0.23799999999999999</v>
      </c>
      <c r="L9" s="8">
        <v>0.29799999999999999</v>
      </c>
      <c r="M9" s="8">
        <v>0.31</v>
      </c>
      <c r="N9" s="9">
        <v>562</v>
      </c>
    </row>
    <row r="11" spans="1:14" x14ac:dyDescent="0.25">
      <c r="B11" s="10">
        <v>0</v>
      </c>
      <c r="C11" s="10">
        <v>0.6</v>
      </c>
      <c r="D11" s="10">
        <v>3</v>
      </c>
      <c r="E11" s="10">
        <v>6</v>
      </c>
      <c r="F11" s="10">
        <v>9</v>
      </c>
      <c r="G11" s="10">
        <v>18</v>
      </c>
      <c r="H11" s="10">
        <v>30</v>
      </c>
      <c r="I11" s="10">
        <v>45</v>
      </c>
      <c r="J11" s="10">
        <v>60</v>
      </c>
      <c r="K11" s="10">
        <v>100</v>
      </c>
      <c r="L11" s="10">
        <v>250</v>
      </c>
      <c r="M11" s="10">
        <v>500</v>
      </c>
    </row>
    <row r="12" spans="1:14" x14ac:dyDescent="0.25">
      <c r="B12" s="5">
        <f>AVERAGE(B2,B3:B4)</f>
        <v>3.7999999999999999E-2</v>
      </c>
      <c r="C12" s="5">
        <f t="shared" ref="C12:M12" si="0">AVERAGE(C2:C4)</f>
        <v>4.3333333333333335E-2</v>
      </c>
      <c r="D12" s="5">
        <f t="shared" si="0"/>
        <v>5.1333333333333335E-2</v>
      </c>
      <c r="E12" s="5">
        <f t="shared" si="0"/>
        <v>6.8666666666666668E-2</v>
      </c>
      <c r="F12" s="5">
        <f t="shared" si="0"/>
        <v>8.1333333333333327E-2</v>
      </c>
      <c r="G12" s="5">
        <f t="shared" si="0"/>
        <v>0.11899999999999999</v>
      </c>
      <c r="H12" s="5">
        <f t="shared" si="0"/>
        <v>0.18099999999999997</v>
      </c>
      <c r="I12" s="5">
        <f t="shared" si="0"/>
        <v>0.24399999999999999</v>
      </c>
      <c r="J12" s="5">
        <f t="shared" si="0"/>
        <v>0.30333333333333329</v>
      </c>
      <c r="K12" s="5">
        <f t="shared" si="0"/>
        <v>0.51</v>
      </c>
      <c r="L12" s="5">
        <f t="shared" si="0"/>
        <v>0.87100000000000011</v>
      </c>
      <c r="M12" s="5">
        <f t="shared" si="0"/>
        <v>1.3253333333333333</v>
      </c>
    </row>
    <row r="14" spans="1:14" x14ac:dyDescent="0.25">
      <c r="B14" s="10">
        <v>0</v>
      </c>
      <c r="C14" s="10">
        <v>0.6</v>
      </c>
      <c r="D14" s="10">
        <v>3</v>
      </c>
      <c r="E14" s="10">
        <v>6</v>
      </c>
      <c r="F14" s="10">
        <v>9</v>
      </c>
      <c r="G14" s="10">
        <v>18</v>
      </c>
      <c r="H14" s="10">
        <v>30</v>
      </c>
      <c r="I14" s="10">
        <v>45</v>
      </c>
      <c r="J14" s="10">
        <v>60</v>
      </c>
      <c r="K14" s="10">
        <v>100</v>
      </c>
      <c r="L14" s="10">
        <v>250</v>
      </c>
      <c r="M14" s="10">
        <v>500</v>
      </c>
    </row>
    <row r="15" spans="1:14" x14ac:dyDescent="0.25">
      <c r="B15" s="5">
        <f>AVERAGE(B7:B9)</f>
        <v>3.7333333333333329E-2</v>
      </c>
      <c r="C15" s="5">
        <f t="shared" ref="C15:M15" si="1">AVERAGE(C7:C9)</f>
        <v>3.9333333333333331E-2</v>
      </c>
      <c r="D15" s="5">
        <f t="shared" si="1"/>
        <v>4.4333333333333336E-2</v>
      </c>
      <c r="E15" s="5">
        <f t="shared" si="1"/>
        <v>5.2333333333333336E-2</v>
      </c>
      <c r="F15" s="5">
        <f t="shared" si="1"/>
        <v>5.8666666666666666E-2</v>
      </c>
      <c r="G15" s="5">
        <f>AVERAGE(G8:G9)</f>
        <v>8.2000000000000003E-2</v>
      </c>
      <c r="H15" s="5">
        <f t="shared" si="1"/>
        <v>0.10433333333333333</v>
      </c>
      <c r="I15" s="5">
        <f t="shared" si="1"/>
        <v>0.12266666666666666</v>
      </c>
      <c r="J15" s="5">
        <f t="shared" si="1"/>
        <v>0.15133333333333332</v>
      </c>
      <c r="K15" s="5">
        <f>AVERAGE(K8:K9)</f>
        <v>0.23199999999999998</v>
      </c>
      <c r="L15" s="5">
        <f t="shared" si="1"/>
        <v>0.28966666666666668</v>
      </c>
      <c r="M15" s="5">
        <f t="shared" si="1"/>
        <v>0.32400000000000001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Giessner, Melanie</dc:creator>
  <cp:lastModifiedBy>Giessner, Melanie</cp:lastModifiedBy>
  <dcterms:created xsi:type="dcterms:W3CDTF">2024-02-29T15:10:11Z</dcterms:created>
  <dcterms:modified xsi:type="dcterms:W3CDTF">2024-02-29T20:52:03Z</dcterms:modified>
</cp:coreProperties>
</file>