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"/>
    </mc:Choice>
  </mc:AlternateContent>
  <xr:revisionPtr revIDLastSave="0" documentId="13_ncr:1_{5763EFE3-F49C-4BE1-A091-2A61D5A38489}" xr6:coauthVersionLast="47" xr6:coauthVersionMax="47" xr10:uidLastSave="{00000000-0000-0000-0000-000000000000}"/>
  <bookViews>
    <workbookView xWindow="-80" yWindow="-80" windowWidth="19360" windowHeight="10240" xr2:uid="{2E6CDC92-051D-434A-AD9B-294AA50E5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</calcChain>
</file>

<file path=xl/sharedStrings.xml><?xml version="1.0" encoding="utf-8"?>
<sst xmlns="http://schemas.openxmlformats.org/spreadsheetml/2006/main" count="174" uniqueCount="42">
  <si>
    <t>Site</t>
  </si>
  <si>
    <t>Zone</t>
  </si>
  <si>
    <t>Replicate</t>
  </si>
  <si>
    <t>Depth</t>
  </si>
  <si>
    <t>Month</t>
  </si>
  <si>
    <t>Year</t>
  </si>
  <si>
    <t>FE Sample pH</t>
  </si>
  <si>
    <t>DOC Sample pH</t>
  </si>
  <si>
    <t>DOC Sample + 0.5M HCl pH</t>
  </si>
  <si>
    <t>DOC Sample + 50% HCl pH</t>
  </si>
  <si>
    <t>MSM</t>
  </si>
  <si>
    <t>TR</t>
  </si>
  <si>
    <t>A</t>
  </si>
  <si>
    <t>May</t>
  </si>
  <si>
    <t>SW</t>
  </si>
  <si>
    <t>FE Sample #</t>
  </si>
  <si>
    <t>C</t>
  </si>
  <si>
    <t>SEPT</t>
  </si>
  <si>
    <t>WC</t>
  </si>
  <si>
    <t>SWH</t>
  </si>
  <si>
    <t>GWI</t>
  </si>
  <si>
    <t>UP</t>
  </si>
  <si>
    <t>Notes</t>
  </si>
  <si>
    <t>x50 dil needed</t>
  </si>
  <si>
    <t xml:space="preserve">no dil </t>
  </si>
  <si>
    <t>B</t>
  </si>
  <si>
    <t>MAY</t>
  </si>
  <si>
    <t>x100</t>
  </si>
  <si>
    <t>GCW</t>
  </si>
  <si>
    <t>NOV</t>
  </si>
  <si>
    <t>JULY</t>
  </si>
  <si>
    <t>OCT</t>
  </si>
  <si>
    <t>rerun, no dil; color</t>
  </si>
  <si>
    <t>rerun, no dil</t>
  </si>
  <si>
    <t>some color</t>
  </si>
  <si>
    <t>50x</t>
  </si>
  <si>
    <t xml:space="preserve">50x </t>
  </si>
  <si>
    <t>x100; pH 1 or 2</t>
  </si>
  <si>
    <t>pH 1 or 2</t>
  </si>
  <si>
    <t>Total tested so far</t>
  </si>
  <si>
    <t>% that are right pH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</si>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</sst>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FE Sample 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Sheet1!$A$7:$A$37</c:f>
              <c:numCache>
                <c:formatCode>General</c:formatCode>
                <c:ptCount val="31"/>
                <c:pt idx="0">
                  <c:v>64</c:v>
                </c:pt>
                <c:pt idx="1">
                  <c:v>65</c:v>
                </c:pt>
                <c:pt idx="2">
                  <c:v>80</c:v>
                </c:pt>
                <c:pt idx="3">
                  <c:v>346</c:v>
                </c:pt>
                <c:pt idx="4">
                  <c:v>349</c:v>
                </c:pt>
                <c:pt idx="5">
                  <c:v>385</c:v>
                </c:pt>
                <c:pt idx="6">
                  <c:v>400</c:v>
                </c:pt>
                <c:pt idx="7">
                  <c:v>132</c:v>
                </c:pt>
                <c:pt idx="8">
                  <c:v>135</c:v>
                </c:pt>
                <c:pt idx="9">
                  <c:v>422</c:v>
                </c:pt>
                <c:pt idx="10">
                  <c:v>564</c:v>
                </c:pt>
                <c:pt idx="11">
                  <c:v>567</c:v>
                </c:pt>
                <c:pt idx="12">
                  <c:v>134</c:v>
                </c:pt>
                <c:pt idx="13">
                  <c:v>136</c:v>
                </c:pt>
                <c:pt idx="14">
                  <c:v>421</c:v>
                </c:pt>
                <c:pt idx="15">
                  <c:v>423</c:v>
                </c:pt>
                <c:pt idx="16">
                  <c:v>565</c:v>
                </c:pt>
                <c:pt idx="17">
                  <c:v>225</c:v>
                </c:pt>
                <c:pt idx="18">
                  <c:v>226</c:v>
                </c:pt>
                <c:pt idx="19">
                  <c:v>227</c:v>
                </c:pt>
                <c:pt idx="20">
                  <c:v>285</c:v>
                </c:pt>
                <c:pt idx="21">
                  <c:v>286</c:v>
                </c:pt>
                <c:pt idx="22">
                  <c:v>557</c:v>
                </c:pt>
                <c:pt idx="23">
                  <c:v>558</c:v>
                </c:pt>
                <c:pt idx="24">
                  <c:v>495</c:v>
                </c:pt>
                <c:pt idx="25">
                  <c:v>496</c:v>
                </c:pt>
                <c:pt idx="26">
                  <c:v>212</c:v>
                </c:pt>
                <c:pt idx="27">
                  <c:v>246</c:v>
                </c:pt>
                <c:pt idx="28">
                  <c:v>454</c:v>
                </c:pt>
                <c:pt idx="29">
                  <c:v>517</c:v>
                </c:pt>
              </c:numCache>
            </c:numRef>
          </c:cat>
          <c:val>
            <c:numRef>
              <c:f>Sheet1!$H$7:$H$37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 formatCode="0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 formatCode="0">
                  <c:v>2</c:v>
                </c:pt>
                <c:pt idx="23" formatCode="0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5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B-417C-952B-6E5277542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398040"/>
        <c:axId val="6713969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FE Sample #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Sheet1!$A$7:$A$37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64</c:v>
                      </c:pt>
                      <c:pt idx="1">
                        <c:v>65</c:v>
                      </c:pt>
                      <c:pt idx="2">
                        <c:v>80</c:v>
                      </c:pt>
                      <c:pt idx="3">
                        <c:v>346</c:v>
                      </c:pt>
                      <c:pt idx="4">
                        <c:v>349</c:v>
                      </c:pt>
                      <c:pt idx="5">
                        <c:v>385</c:v>
                      </c:pt>
                      <c:pt idx="6">
                        <c:v>400</c:v>
                      </c:pt>
                      <c:pt idx="7">
                        <c:v>132</c:v>
                      </c:pt>
                      <c:pt idx="8">
                        <c:v>135</c:v>
                      </c:pt>
                      <c:pt idx="9">
                        <c:v>422</c:v>
                      </c:pt>
                      <c:pt idx="10">
                        <c:v>564</c:v>
                      </c:pt>
                      <c:pt idx="11">
                        <c:v>567</c:v>
                      </c:pt>
                      <c:pt idx="12">
                        <c:v>134</c:v>
                      </c:pt>
                      <c:pt idx="13">
                        <c:v>136</c:v>
                      </c:pt>
                      <c:pt idx="14">
                        <c:v>421</c:v>
                      </c:pt>
                      <c:pt idx="15">
                        <c:v>423</c:v>
                      </c:pt>
                      <c:pt idx="16">
                        <c:v>565</c:v>
                      </c:pt>
                      <c:pt idx="17">
                        <c:v>225</c:v>
                      </c:pt>
                      <c:pt idx="18">
                        <c:v>226</c:v>
                      </c:pt>
                      <c:pt idx="19">
                        <c:v>227</c:v>
                      </c:pt>
                      <c:pt idx="20">
                        <c:v>285</c:v>
                      </c:pt>
                      <c:pt idx="21">
                        <c:v>286</c:v>
                      </c:pt>
                      <c:pt idx="22">
                        <c:v>557</c:v>
                      </c:pt>
                      <c:pt idx="23">
                        <c:v>558</c:v>
                      </c:pt>
                      <c:pt idx="24">
                        <c:v>495</c:v>
                      </c:pt>
                      <c:pt idx="25">
                        <c:v>496</c:v>
                      </c:pt>
                      <c:pt idx="26">
                        <c:v>212</c:v>
                      </c:pt>
                      <c:pt idx="27">
                        <c:v>246</c:v>
                      </c:pt>
                      <c:pt idx="28">
                        <c:v>454</c:v>
                      </c:pt>
                      <c:pt idx="29">
                        <c:v>517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Sheet1!$A$7:$A$42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64</c:v>
                      </c:pt>
                      <c:pt idx="1">
                        <c:v>65</c:v>
                      </c:pt>
                      <c:pt idx="2">
                        <c:v>80</c:v>
                      </c:pt>
                      <c:pt idx="3">
                        <c:v>346</c:v>
                      </c:pt>
                      <c:pt idx="4">
                        <c:v>349</c:v>
                      </c:pt>
                      <c:pt idx="5">
                        <c:v>385</c:v>
                      </c:pt>
                      <c:pt idx="6">
                        <c:v>400</c:v>
                      </c:pt>
                      <c:pt idx="7">
                        <c:v>132</c:v>
                      </c:pt>
                      <c:pt idx="8">
                        <c:v>135</c:v>
                      </c:pt>
                      <c:pt idx="9">
                        <c:v>422</c:v>
                      </c:pt>
                      <c:pt idx="10">
                        <c:v>564</c:v>
                      </c:pt>
                      <c:pt idx="11">
                        <c:v>567</c:v>
                      </c:pt>
                      <c:pt idx="12">
                        <c:v>134</c:v>
                      </c:pt>
                      <c:pt idx="13">
                        <c:v>136</c:v>
                      </c:pt>
                      <c:pt idx="14">
                        <c:v>421</c:v>
                      </c:pt>
                      <c:pt idx="15">
                        <c:v>423</c:v>
                      </c:pt>
                      <c:pt idx="16">
                        <c:v>565</c:v>
                      </c:pt>
                      <c:pt idx="17">
                        <c:v>225</c:v>
                      </c:pt>
                      <c:pt idx="18">
                        <c:v>226</c:v>
                      </c:pt>
                      <c:pt idx="19">
                        <c:v>227</c:v>
                      </c:pt>
                      <c:pt idx="20">
                        <c:v>285</c:v>
                      </c:pt>
                      <c:pt idx="21">
                        <c:v>286</c:v>
                      </c:pt>
                      <c:pt idx="22">
                        <c:v>557</c:v>
                      </c:pt>
                      <c:pt idx="23">
                        <c:v>558</c:v>
                      </c:pt>
                      <c:pt idx="24">
                        <c:v>495</c:v>
                      </c:pt>
                      <c:pt idx="25">
                        <c:v>496</c:v>
                      </c:pt>
                      <c:pt idx="26">
                        <c:v>212</c:v>
                      </c:pt>
                      <c:pt idx="27">
                        <c:v>246</c:v>
                      </c:pt>
                      <c:pt idx="28">
                        <c:v>454</c:v>
                      </c:pt>
                      <c:pt idx="29">
                        <c:v>517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F6B-417C-952B-6E5277542675}"/>
                  </c:ext>
                </c:extLst>
              </c15:ser>
            </c15:filteredBarSeries>
          </c:ext>
        </c:extLst>
      </c:barChart>
      <c:catAx>
        <c:axId val="671398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 # ID</a:t>
                </a:r>
              </a:p>
            </c:rich>
          </c:tx>
          <c:layout>
            <c:manualLayout>
              <c:xMode val="edge"/>
              <c:yMode val="edge"/>
              <c:x val="0.43442235345581803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396960"/>
        <c:crosses val="autoZero"/>
        <c:auto val="1"/>
        <c:lblAlgn val="ctr"/>
        <c:lblOffset val="100"/>
        <c:noMultiLvlLbl val="0"/>
      </c:catAx>
      <c:valAx>
        <c:axId val="6713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44714494021580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39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 Sample Preservation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Sheet1!$J$1</c:f>
              <c:strCache>
                <c:ptCount val="1"/>
                <c:pt idx="0">
                  <c:v>DOC Sample 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568</c:v>
                </c:pt>
                <c:pt idx="1">
                  <c:v>561</c:v>
                </c:pt>
                <c:pt idx="2">
                  <c:v>566</c:v>
                </c:pt>
                <c:pt idx="3">
                  <c:v>546</c:v>
                </c:pt>
                <c:pt idx="4">
                  <c:v>484</c:v>
                </c:pt>
              </c:numCache>
            </c:numRef>
          </c:cat>
          <c:val>
            <c:numRef>
              <c:f>Sheet1!$J$2:$J$6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B-423A-9FDF-08A4166E7BAF}"/>
            </c:ext>
          </c:extLst>
        </c:ser>
        <c:ser>
          <c:idx val="2"/>
          <c:order val="1"/>
          <c:tx>
            <c:strRef>
              <c:f>Sheet1!$L$1</c:f>
              <c:strCache>
                <c:ptCount val="1"/>
                <c:pt idx="0">
                  <c:v>DOC Sample + 0.5M HCl pH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Sheet1!$L$2:$L$6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8B-423A-9FDF-08A4166E7BAF}"/>
            </c:ext>
          </c:extLst>
        </c:ser>
        <c:ser>
          <c:idx val="0"/>
          <c:order val="2"/>
          <c:tx>
            <c:strRef>
              <c:f>Sheet1!$K$1</c:f>
              <c:strCache>
                <c:ptCount val="1"/>
                <c:pt idx="0">
                  <c:v>DOC Sample + 50% HCl 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Sheet1!$K$2:$K$6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B-423A-9FDF-08A4166E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320352"/>
        <c:axId val="677711448"/>
      </c:barChart>
      <c:catAx>
        <c:axId val="6743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711448"/>
        <c:crosses val="autoZero"/>
        <c:auto val="1"/>
        <c:lblAlgn val="ctr"/>
        <c:lblOffset val="100"/>
        <c:noMultiLvlLbl val="0"/>
      </c:catAx>
      <c:valAx>
        <c:axId val="67771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7825605132691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2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42</xdr:row>
      <xdr:rowOff>61912</xdr:rowOff>
    </xdr:from>
    <xdr:to>
      <xdr:col>9</xdr:col>
      <xdr:colOff>266700</xdr:colOff>
      <xdr:row>57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89E67-5923-C7F5-C0D7-5B72FA711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676275</xdr:colOff>
      <xdr:row>42</xdr:row>
      <xdr:rowOff>71437</xdr:rowOff>
    </xdr:from>
    <xdr:to>
      <xdr:col>13</xdr:col>
      <xdr:colOff>409575</xdr:colOff>
      <xdr:row>56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5E40F9-FFA0-A8FF-80D2-17EBD18AC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BAD2-6A9D-4EB3-980B-B29A0E801D26}">
  <sheetPr>
    <pageSetUpPr fitToPage="1"/>
  </sheetPr>
  <dimension ref="A1:L42"/>
  <sheetViews>
    <sheetView tabSelected="1" topLeftCell="A37" workbookViewId="0">
      <selection activeCell="A40" sqref="A40:N58"/>
    </sheetView>
  </sheetViews>
  <sheetFormatPr defaultRowHeight="15" x14ac:dyDescent="0.25"/>
  <cols>
    <col min="1" max="1" width="11.42578125" style="1" bestFit="1" customWidth="1"/>
    <col min="2" max="2" width="5.140625" bestFit="1" customWidth="1"/>
    <col min="3" max="3" width="5.28515625" bestFit="1" customWidth="1"/>
    <col min="4" max="4" width="9.140625" style="1"/>
    <col min="5" max="5" width="6.140625" style="1" bestFit="1" customWidth="1"/>
    <col min="6" max="6" width="6.5703125" style="1" bestFit="1" customWidth="1"/>
    <col min="7" max="7" width="4.85546875" style="1" bestFit="1" customWidth="1"/>
    <col min="8" max="8" width="12.85546875" style="1" bestFit="1" customWidth="1"/>
    <col min="9" max="9" width="17.140625" style="2" customWidth="1"/>
    <col min="10" max="10" width="14.85546875" bestFit="1" customWidth="1"/>
    <col min="11" max="11" width="24" bestFit="1" customWidth="1"/>
    <col min="12" max="12" width="24.5703125" style="1" bestFit="1" customWidth="1"/>
  </cols>
  <sheetData>
    <row r="1" spans="1:12" x14ac:dyDescent="0.25">
      <c r="A1" s="5" t="s">
        <v>15</v>
      </c>
      <c r="B1" s="6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7" t="s">
        <v>22</v>
      </c>
      <c r="J1" s="6" t="s">
        <v>7</v>
      </c>
      <c r="K1" s="6" t="s">
        <v>9</v>
      </c>
      <c r="L1" s="5" t="s">
        <v>8</v>
      </c>
    </row>
    <row r="2" spans="1:12" x14ac:dyDescent="0.25">
      <c r="A2" s="5">
        <v>568</v>
      </c>
      <c r="B2" s="6" t="s">
        <v>28</v>
      </c>
      <c r="C2" s="6" t="s">
        <v>18</v>
      </c>
      <c r="D2" s="5" t="s">
        <v>12</v>
      </c>
      <c r="E2" s="5">
        <v>10</v>
      </c>
      <c r="F2" s="5" t="s">
        <v>29</v>
      </c>
      <c r="G2" s="5">
        <v>2024</v>
      </c>
      <c r="H2" s="5">
        <v>8</v>
      </c>
      <c r="I2" s="7"/>
      <c r="J2" s="5">
        <v>8</v>
      </c>
      <c r="K2" s="5">
        <v>2</v>
      </c>
      <c r="L2" s="5">
        <v>5</v>
      </c>
    </row>
    <row r="3" spans="1:12" x14ac:dyDescent="0.25">
      <c r="A3" s="5">
        <v>561</v>
      </c>
      <c r="B3" s="6" t="s">
        <v>28</v>
      </c>
      <c r="C3" s="6" t="s">
        <v>11</v>
      </c>
      <c r="D3" s="5" t="s">
        <v>12</v>
      </c>
      <c r="E3" s="5">
        <v>45</v>
      </c>
      <c r="F3" s="5" t="s">
        <v>29</v>
      </c>
      <c r="G3" s="5">
        <v>2024</v>
      </c>
      <c r="H3" s="5">
        <v>5</v>
      </c>
      <c r="I3" s="7" t="s">
        <v>34</v>
      </c>
      <c r="J3" s="5">
        <v>5</v>
      </c>
      <c r="K3" s="5">
        <v>2</v>
      </c>
      <c r="L3" s="5">
        <v>2</v>
      </c>
    </row>
    <row r="4" spans="1:12" x14ac:dyDescent="0.25">
      <c r="A4" s="5">
        <v>566</v>
      </c>
      <c r="B4" s="6" t="s">
        <v>28</v>
      </c>
      <c r="C4" s="6" t="s">
        <v>11</v>
      </c>
      <c r="D4" s="5" t="s">
        <v>16</v>
      </c>
      <c r="E4" s="5">
        <v>10</v>
      </c>
      <c r="F4" s="5" t="s">
        <v>29</v>
      </c>
      <c r="G4" s="5">
        <v>2024</v>
      </c>
      <c r="H4" s="5">
        <v>5</v>
      </c>
      <c r="I4" s="7" t="s">
        <v>33</v>
      </c>
      <c r="J4" s="5">
        <v>5</v>
      </c>
      <c r="K4" s="5">
        <v>2</v>
      </c>
      <c r="L4" s="5">
        <v>4</v>
      </c>
    </row>
    <row r="5" spans="1:12" x14ac:dyDescent="0.25">
      <c r="A5" s="5">
        <v>546</v>
      </c>
      <c r="B5" s="6" t="s">
        <v>20</v>
      </c>
      <c r="C5" s="6" t="s">
        <v>11</v>
      </c>
      <c r="D5" s="5" t="s">
        <v>25</v>
      </c>
      <c r="E5" s="5">
        <v>45</v>
      </c>
      <c r="F5" s="5" t="s">
        <v>29</v>
      </c>
      <c r="G5" s="5">
        <v>2024</v>
      </c>
      <c r="H5" s="5">
        <v>2</v>
      </c>
      <c r="I5" s="7" t="s">
        <v>36</v>
      </c>
      <c r="J5" s="5">
        <v>5</v>
      </c>
      <c r="K5" s="5">
        <v>2</v>
      </c>
      <c r="L5" s="5" t="s">
        <v>41</v>
      </c>
    </row>
    <row r="6" spans="1:12" x14ac:dyDescent="0.25">
      <c r="A6" s="5">
        <v>484</v>
      </c>
      <c r="B6" s="6" t="s">
        <v>10</v>
      </c>
      <c r="C6" s="6" t="s">
        <v>11</v>
      </c>
      <c r="D6" s="5" t="s">
        <v>25</v>
      </c>
      <c r="E6" s="5">
        <v>10</v>
      </c>
      <c r="F6" s="5" t="s">
        <v>29</v>
      </c>
      <c r="G6" s="5">
        <v>1014</v>
      </c>
      <c r="H6" s="5">
        <v>5</v>
      </c>
      <c r="I6" s="7" t="s">
        <v>35</v>
      </c>
      <c r="J6" s="5">
        <v>5</v>
      </c>
      <c r="K6" s="5">
        <v>2</v>
      </c>
      <c r="L6" s="5">
        <v>4</v>
      </c>
    </row>
    <row r="7" spans="1:12" x14ac:dyDescent="0.25">
      <c r="A7" s="5">
        <v>64</v>
      </c>
      <c r="B7" s="6" t="s">
        <v>10</v>
      </c>
      <c r="C7" s="6" t="s">
        <v>11</v>
      </c>
      <c r="D7" s="5" t="s">
        <v>12</v>
      </c>
      <c r="E7" s="5">
        <v>10</v>
      </c>
      <c r="F7" s="5" t="s">
        <v>13</v>
      </c>
      <c r="G7" s="5">
        <v>2024</v>
      </c>
      <c r="H7" s="5">
        <v>5</v>
      </c>
      <c r="I7" s="7" t="s">
        <v>23</v>
      </c>
      <c r="J7" s="6"/>
      <c r="K7" s="6"/>
      <c r="L7" s="5"/>
    </row>
    <row r="8" spans="1:12" x14ac:dyDescent="0.25">
      <c r="A8" s="5">
        <v>65</v>
      </c>
      <c r="B8" s="6" t="s">
        <v>10</v>
      </c>
      <c r="C8" s="6" t="s">
        <v>11</v>
      </c>
      <c r="D8" s="5" t="s">
        <v>12</v>
      </c>
      <c r="E8" s="5">
        <v>20</v>
      </c>
      <c r="F8" s="5" t="s">
        <v>13</v>
      </c>
      <c r="G8" s="5">
        <v>2024</v>
      </c>
      <c r="H8" s="5">
        <v>5</v>
      </c>
      <c r="I8" s="7" t="s">
        <v>23</v>
      </c>
      <c r="J8" s="6"/>
      <c r="K8" s="6"/>
      <c r="L8" s="5"/>
    </row>
    <row r="9" spans="1:12" x14ac:dyDescent="0.25">
      <c r="A9" s="5">
        <v>80</v>
      </c>
      <c r="B9" s="6" t="s">
        <v>10</v>
      </c>
      <c r="C9" s="6" t="s">
        <v>14</v>
      </c>
      <c r="D9" s="5" t="s">
        <v>12</v>
      </c>
      <c r="E9" s="5">
        <v>0</v>
      </c>
      <c r="F9" s="5" t="s">
        <v>13</v>
      </c>
      <c r="G9" s="5">
        <v>2024</v>
      </c>
      <c r="H9" s="5">
        <v>4</v>
      </c>
      <c r="I9" s="7" t="s">
        <v>24</v>
      </c>
      <c r="J9" s="6"/>
      <c r="K9" s="6"/>
      <c r="L9" s="5"/>
    </row>
    <row r="10" spans="1:12" x14ac:dyDescent="0.25">
      <c r="A10" s="5">
        <v>346</v>
      </c>
      <c r="B10" s="6" t="s">
        <v>10</v>
      </c>
      <c r="C10" s="6" t="s">
        <v>11</v>
      </c>
      <c r="D10" s="5" t="s">
        <v>16</v>
      </c>
      <c r="E10" s="5">
        <v>20</v>
      </c>
      <c r="F10" s="5" t="s">
        <v>17</v>
      </c>
      <c r="G10" s="5">
        <v>2024</v>
      </c>
      <c r="H10" s="5">
        <v>5</v>
      </c>
      <c r="I10" s="7"/>
      <c r="J10" s="6"/>
      <c r="K10" s="6"/>
      <c r="L10" s="5"/>
    </row>
    <row r="11" spans="1:12" x14ac:dyDescent="0.25">
      <c r="A11" s="5">
        <v>349</v>
      </c>
      <c r="B11" s="6" t="s">
        <v>10</v>
      </c>
      <c r="C11" s="6" t="s">
        <v>18</v>
      </c>
      <c r="D11" s="5" t="s">
        <v>12</v>
      </c>
      <c r="E11" s="5">
        <v>20</v>
      </c>
      <c r="F11" s="5" t="s">
        <v>17</v>
      </c>
      <c r="G11" s="5">
        <v>2024</v>
      </c>
      <c r="H11" s="5">
        <v>7</v>
      </c>
      <c r="I11" s="7"/>
      <c r="J11" s="6"/>
      <c r="K11" s="6"/>
      <c r="L11" s="5"/>
    </row>
    <row r="12" spans="1:12" x14ac:dyDescent="0.25">
      <c r="A12" s="5">
        <v>385</v>
      </c>
      <c r="B12" s="6" t="s">
        <v>19</v>
      </c>
      <c r="C12" s="6" t="s">
        <v>18</v>
      </c>
      <c r="D12" s="5" t="s">
        <v>12</v>
      </c>
      <c r="E12" s="5">
        <v>45</v>
      </c>
      <c r="F12" s="5" t="s">
        <v>17</v>
      </c>
      <c r="G12" s="5">
        <v>2024</v>
      </c>
      <c r="H12" s="5">
        <v>1</v>
      </c>
      <c r="I12" s="7"/>
      <c r="J12" s="6"/>
      <c r="K12" s="6"/>
      <c r="L12" s="5"/>
    </row>
    <row r="13" spans="1:12" x14ac:dyDescent="0.25">
      <c r="A13" s="5">
        <v>400</v>
      </c>
      <c r="B13" s="6" t="s">
        <v>20</v>
      </c>
      <c r="C13" s="6" t="s">
        <v>21</v>
      </c>
      <c r="D13" s="5" t="s">
        <v>16</v>
      </c>
      <c r="E13" s="5">
        <v>20</v>
      </c>
      <c r="F13" s="5" t="s">
        <v>17</v>
      </c>
      <c r="G13" s="5">
        <v>2024</v>
      </c>
      <c r="H13" s="5">
        <v>1</v>
      </c>
      <c r="I13" s="7"/>
      <c r="J13" s="6"/>
      <c r="K13" s="6"/>
      <c r="L13" s="5"/>
    </row>
    <row r="14" spans="1:12" x14ac:dyDescent="0.25">
      <c r="A14" s="5">
        <v>132</v>
      </c>
      <c r="B14" s="6" t="s">
        <v>20</v>
      </c>
      <c r="C14" s="6" t="s">
        <v>11</v>
      </c>
      <c r="D14" s="5" t="s">
        <v>25</v>
      </c>
      <c r="E14" s="5">
        <v>45</v>
      </c>
      <c r="F14" s="5" t="s">
        <v>26</v>
      </c>
      <c r="G14" s="5">
        <v>2024</v>
      </c>
      <c r="H14" s="5">
        <v>5</v>
      </c>
      <c r="I14" s="7" t="s">
        <v>27</v>
      </c>
      <c r="J14" s="6"/>
      <c r="K14" s="6"/>
      <c r="L14" s="5"/>
    </row>
    <row r="15" spans="1:12" x14ac:dyDescent="0.25">
      <c r="A15" s="5">
        <v>135</v>
      </c>
      <c r="B15" s="6" t="s">
        <v>20</v>
      </c>
      <c r="C15" s="6" t="s">
        <v>11</v>
      </c>
      <c r="D15" s="5" t="s">
        <v>16</v>
      </c>
      <c r="E15" s="5">
        <v>45</v>
      </c>
      <c r="F15" s="5" t="s">
        <v>26</v>
      </c>
      <c r="G15" s="5">
        <v>2024</v>
      </c>
      <c r="H15" s="5">
        <v>5</v>
      </c>
      <c r="I15" s="7" t="s">
        <v>27</v>
      </c>
      <c r="J15" s="6"/>
      <c r="K15" s="6"/>
      <c r="L15" s="5"/>
    </row>
    <row r="16" spans="1:12" x14ac:dyDescent="0.25">
      <c r="A16" s="5">
        <v>422</v>
      </c>
      <c r="B16" s="6" t="s">
        <v>28</v>
      </c>
      <c r="C16" s="6" t="s">
        <v>11</v>
      </c>
      <c r="D16" s="5" t="s">
        <v>16</v>
      </c>
      <c r="E16" s="5">
        <v>45</v>
      </c>
      <c r="F16" s="5" t="s">
        <v>17</v>
      </c>
      <c r="G16" s="5">
        <v>2024</v>
      </c>
      <c r="H16" s="8">
        <v>2</v>
      </c>
      <c r="I16" s="7" t="s">
        <v>37</v>
      </c>
      <c r="J16" s="6"/>
      <c r="K16" s="6"/>
      <c r="L16" s="5"/>
    </row>
    <row r="17" spans="1:12" x14ac:dyDescent="0.25">
      <c r="A17" s="5">
        <v>564</v>
      </c>
      <c r="B17" s="6" t="s">
        <v>28</v>
      </c>
      <c r="C17" s="6" t="s">
        <v>11</v>
      </c>
      <c r="D17" s="5" t="s">
        <v>25</v>
      </c>
      <c r="E17" s="5">
        <v>45</v>
      </c>
      <c r="F17" s="5" t="s">
        <v>29</v>
      </c>
      <c r="G17" s="5">
        <v>2024</v>
      </c>
      <c r="H17" s="5">
        <v>5</v>
      </c>
      <c r="I17" s="7" t="s">
        <v>27</v>
      </c>
      <c r="J17" s="6"/>
      <c r="K17" s="6"/>
      <c r="L17" s="5"/>
    </row>
    <row r="18" spans="1:12" x14ac:dyDescent="0.25">
      <c r="A18" s="5">
        <v>567</v>
      </c>
      <c r="B18" s="6" t="s">
        <v>28</v>
      </c>
      <c r="C18" s="6" t="s">
        <v>11</v>
      </c>
      <c r="D18" s="5" t="s">
        <v>16</v>
      </c>
      <c r="E18" s="5">
        <v>45</v>
      </c>
      <c r="F18" s="5" t="s">
        <v>29</v>
      </c>
      <c r="G18" s="5">
        <v>2024</v>
      </c>
      <c r="H18" s="5">
        <v>1</v>
      </c>
      <c r="I18" s="7" t="s">
        <v>27</v>
      </c>
      <c r="J18" s="6"/>
      <c r="K18" s="6"/>
      <c r="L18" s="5"/>
    </row>
    <row r="19" spans="1:12" x14ac:dyDescent="0.25">
      <c r="A19" s="5">
        <v>134</v>
      </c>
      <c r="B19" s="6" t="s">
        <v>20</v>
      </c>
      <c r="C19" s="6" t="s">
        <v>11</v>
      </c>
      <c r="D19" s="5" t="s">
        <v>16</v>
      </c>
      <c r="E19" s="5">
        <v>20</v>
      </c>
      <c r="F19" s="5" t="s">
        <v>26</v>
      </c>
      <c r="G19" s="5">
        <v>2024</v>
      </c>
      <c r="H19" s="5">
        <v>6</v>
      </c>
      <c r="I19" s="7" t="s">
        <v>32</v>
      </c>
      <c r="J19" s="6"/>
      <c r="K19" s="6"/>
      <c r="L19" s="5"/>
    </row>
    <row r="20" spans="1:12" x14ac:dyDescent="0.25">
      <c r="A20" s="5">
        <v>136</v>
      </c>
      <c r="B20" s="6" t="s">
        <v>20</v>
      </c>
      <c r="C20" s="6" t="s">
        <v>18</v>
      </c>
      <c r="D20" s="5" t="s">
        <v>12</v>
      </c>
      <c r="E20" s="5">
        <v>10</v>
      </c>
      <c r="F20" s="5" t="s">
        <v>26</v>
      </c>
      <c r="G20" s="5">
        <v>2024</v>
      </c>
      <c r="H20" s="5">
        <v>8</v>
      </c>
      <c r="I20" s="7" t="s">
        <v>32</v>
      </c>
      <c r="J20" s="6"/>
      <c r="K20" s="6"/>
      <c r="L20" s="5"/>
    </row>
    <row r="21" spans="1:12" x14ac:dyDescent="0.25">
      <c r="A21" s="5">
        <v>421</v>
      </c>
      <c r="B21" s="6" t="s">
        <v>28</v>
      </c>
      <c r="C21" s="6" t="s">
        <v>11</v>
      </c>
      <c r="D21" s="5" t="s">
        <v>16</v>
      </c>
      <c r="E21" s="5">
        <v>20</v>
      </c>
      <c r="F21" s="5" t="s">
        <v>17</v>
      </c>
      <c r="G21" s="5">
        <v>2024</v>
      </c>
      <c r="H21" s="5">
        <v>4</v>
      </c>
      <c r="I21" s="7" t="s">
        <v>33</v>
      </c>
      <c r="J21" s="6"/>
      <c r="K21" s="6"/>
      <c r="L21" s="5"/>
    </row>
    <row r="22" spans="1:12" x14ac:dyDescent="0.25">
      <c r="A22" s="5">
        <v>423</v>
      </c>
      <c r="B22" s="6" t="s">
        <v>28</v>
      </c>
      <c r="C22" s="6" t="s">
        <v>18</v>
      </c>
      <c r="D22" s="5" t="s">
        <v>12</v>
      </c>
      <c r="E22" s="5">
        <v>10</v>
      </c>
      <c r="F22" s="5" t="s">
        <v>17</v>
      </c>
      <c r="G22" s="5">
        <v>2024</v>
      </c>
      <c r="H22" s="5">
        <v>2</v>
      </c>
      <c r="I22" s="7"/>
      <c r="J22" s="6"/>
      <c r="K22" s="6"/>
      <c r="L22" s="5"/>
    </row>
    <row r="23" spans="1:12" x14ac:dyDescent="0.25">
      <c r="A23" s="5">
        <v>565</v>
      </c>
      <c r="B23" s="6" t="s">
        <v>28</v>
      </c>
      <c r="C23" s="6" t="s">
        <v>11</v>
      </c>
      <c r="D23" s="5" t="s">
        <v>16</v>
      </c>
      <c r="E23" s="5">
        <v>10</v>
      </c>
      <c r="F23" s="5" t="s">
        <v>29</v>
      </c>
      <c r="G23" s="5">
        <v>2024</v>
      </c>
      <c r="H23" s="5">
        <v>4</v>
      </c>
      <c r="I23" s="7" t="s">
        <v>33</v>
      </c>
      <c r="J23" s="6"/>
      <c r="K23" s="6"/>
      <c r="L23" s="5"/>
    </row>
    <row r="24" spans="1:12" x14ac:dyDescent="0.25">
      <c r="A24" s="5">
        <v>225</v>
      </c>
      <c r="B24" s="6" t="s">
        <v>10</v>
      </c>
      <c r="C24" s="6" t="s">
        <v>14</v>
      </c>
      <c r="D24" s="5" t="s">
        <v>12</v>
      </c>
      <c r="E24" s="5">
        <v>0</v>
      </c>
      <c r="F24" s="5" t="s">
        <v>30</v>
      </c>
      <c r="G24" s="5">
        <v>2024</v>
      </c>
      <c r="H24" s="5">
        <v>8</v>
      </c>
      <c r="I24" s="7"/>
      <c r="J24" s="6"/>
      <c r="K24" s="6"/>
      <c r="L24" s="5"/>
    </row>
    <row r="25" spans="1:12" x14ac:dyDescent="0.25">
      <c r="A25" s="5">
        <v>226</v>
      </c>
      <c r="B25" s="6" t="s">
        <v>10</v>
      </c>
      <c r="C25" s="6" t="s">
        <v>14</v>
      </c>
      <c r="D25" s="5" t="s">
        <v>25</v>
      </c>
      <c r="E25" s="5">
        <v>0</v>
      </c>
      <c r="F25" s="5" t="s">
        <v>30</v>
      </c>
      <c r="G25" s="5">
        <v>2024</v>
      </c>
      <c r="H25" s="5">
        <v>8</v>
      </c>
      <c r="I25" s="7"/>
      <c r="J25" s="6"/>
      <c r="K25" s="6"/>
      <c r="L25" s="5"/>
    </row>
    <row r="26" spans="1:12" x14ac:dyDescent="0.25">
      <c r="A26" s="5">
        <v>227</v>
      </c>
      <c r="B26" s="6" t="s">
        <v>10</v>
      </c>
      <c r="C26" s="6" t="s">
        <v>14</v>
      </c>
      <c r="D26" s="5" t="s">
        <v>16</v>
      </c>
      <c r="E26" s="5">
        <v>0</v>
      </c>
      <c r="F26" s="5" t="s">
        <v>30</v>
      </c>
      <c r="G26" s="5">
        <v>2024</v>
      </c>
      <c r="H26" s="5">
        <v>8</v>
      </c>
      <c r="I26" s="7"/>
      <c r="J26" s="6"/>
      <c r="K26" s="6"/>
      <c r="L26" s="5"/>
    </row>
    <row r="27" spans="1:12" x14ac:dyDescent="0.25">
      <c r="A27" s="5">
        <v>285</v>
      </c>
      <c r="B27" s="6" t="s">
        <v>20</v>
      </c>
      <c r="C27" s="6" t="s">
        <v>14</v>
      </c>
      <c r="D27" s="5" t="s">
        <v>12</v>
      </c>
      <c r="E27" s="5">
        <v>0</v>
      </c>
      <c r="F27" s="5" t="s">
        <v>30</v>
      </c>
      <c r="G27" s="5">
        <v>2024</v>
      </c>
      <c r="H27" s="5">
        <v>8</v>
      </c>
      <c r="I27" s="7"/>
      <c r="J27" s="6"/>
      <c r="K27" s="6"/>
      <c r="L27" s="5"/>
    </row>
    <row r="28" spans="1:12" x14ac:dyDescent="0.25">
      <c r="A28" s="5">
        <v>286</v>
      </c>
      <c r="B28" s="6" t="s">
        <v>20</v>
      </c>
      <c r="C28" s="6" t="s">
        <v>14</v>
      </c>
      <c r="D28" s="5" t="s">
        <v>25</v>
      </c>
      <c r="E28" s="5">
        <v>0</v>
      </c>
      <c r="F28" s="5" t="s">
        <v>30</v>
      </c>
      <c r="G28" s="5">
        <v>2024</v>
      </c>
      <c r="H28" s="5">
        <v>8</v>
      </c>
      <c r="I28" s="7"/>
      <c r="J28" s="6"/>
      <c r="K28" s="6"/>
      <c r="L28" s="5"/>
    </row>
    <row r="29" spans="1:12" x14ac:dyDescent="0.25">
      <c r="A29" s="5">
        <v>557</v>
      </c>
      <c r="B29" s="6" t="s">
        <v>20</v>
      </c>
      <c r="C29" s="6" t="s">
        <v>14</v>
      </c>
      <c r="D29" s="5" t="s">
        <v>12</v>
      </c>
      <c r="E29" s="5">
        <v>0</v>
      </c>
      <c r="F29" s="5" t="s">
        <v>29</v>
      </c>
      <c r="G29" s="5">
        <v>2024</v>
      </c>
      <c r="H29" s="8">
        <v>2</v>
      </c>
      <c r="I29" s="7" t="s">
        <v>38</v>
      </c>
      <c r="J29" s="6"/>
      <c r="K29" s="6"/>
      <c r="L29" s="5"/>
    </row>
    <row r="30" spans="1:12" x14ac:dyDescent="0.25">
      <c r="A30" s="5">
        <v>558</v>
      </c>
      <c r="B30" s="6" t="s">
        <v>20</v>
      </c>
      <c r="C30" s="6" t="s">
        <v>14</v>
      </c>
      <c r="D30" s="5" t="s">
        <v>25</v>
      </c>
      <c r="E30" s="5">
        <v>0</v>
      </c>
      <c r="F30" s="5" t="s">
        <v>29</v>
      </c>
      <c r="G30" s="5">
        <v>2024</v>
      </c>
      <c r="H30" s="8">
        <v>2</v>
      </c>
      <c r="I30" s="7" t="s">
        <v>38</v>
      </c>
      <c r="J30" s="6"/>
      <c r="K30" s="6"/>
      <c r="L30" s="5"/>
    </row>
    <row r="31" spans="1:12" x14ac:dyDescent="0.25">
      <c r="A31" s="5">
        <v>495</v>
      </c>
      <c r="B31" s="6" t="s">
        <v>10</v>
      </c>
      <c r="C31" s="6" t="s">
        <v>14</v>
      </c>
      <c r="D31" s="5" t="s">
        <v>12</v>
      </c>
      <c r="E31" s="5">
        <v>0</v>
      </c>
      <c r="F31" s="5" t="s">
        <v>29</v>
      </c>
      <c r="G31" s="5">
        <v>2024</v>
      </c>
      <c r="H31" s="5">
        <v>3</v>
      </c>
      <c r="I31" s="7"/>
      <c r="J31" s="6"/>
      <c r="K31" s="6"/>
      <c r="L31" s="5"/>
    </row>
    <row r="32" spans="1:12" x14ac:dyDescent="0.25">
      <c r="A32" s="5">
        <v>496</v>
      </c>
      <c r="B32" s="6" t="s">
        <v>10</v>
      </c>
      <c r="C32" s="6" t="s">
        <v>14</v>
      </c>
      <c r="D32" s="5" t="s">
        <v>25</v>
      </c>
      <c r="E32" s="5">
        <v>0</v>
      </c>
      <c r="F32" s="5" t="s">
        <v>29</v>
      </c>
      <c r="G32" s="5">
        <v>2024</v>
      </c>
      <c r="H32" s="5">
        <v>3</v>
      </c>
      <c r="I32" s="7"/>
      <c r="J32" s="6"/>
      <c r="K32" s="6"/>
      <c r="L32" s="5"/>
    </row>
    <row r="33" spans="1:12" x14ac:dyDescent="0.25">
      <c r="A33" s="5">
        <v>212</v>
      </c>
      <c r="B33" s="6" t="s">
        <v>10</v>
      </c>
      <c r="C33" s="6" t="s">
        <v>11</v>
      </c>
      <c r="D33" s="5" t="s">
        <v>25</v>
      </c>
      <c r="E33" s="5">
        <v>10</v>
      </c>
      <c r="F33" s="5" t="s">
        <v>30</v>
      </c>
      <c r="G33" s="5">
        <v>2024</v>
      </c>
      <c r="H33" s="5">
        <v>5</v>
      </c>
      <c r="I33" s="7" t="s">
        <v>35</v>
      </c>
      <c r="J33" s="6"/>
      <c r="K33" s="6"/>
      <c r="L33" s="5"/>
    </row>
    <row r="34" spans="1:12" x14ac:dyDescent="0.25">
      <c r="A34" s="5">
        <v>246</v>
      </c>
      <c r="B34" s="6" t="s">
        <v>19</v>
      </c>
      <c r="C34" s="6" t="s">
        <v>11</v>
      </c>
      <c r="D34" s="5" t="s">
        <v>12</v>
      </c>
      <c r="E34" s="5">
        <v>20</v>
      </c>
      <c r="F34" s="5" t="s">
        <v>30</v>
      </c>
      <c r="G34" s="5">
        <v>2024</v>
      </c>
      <c r="H34" s="5">
        <v>7</v>
      </c>
      <c r="I34" s="7"/>
      <c r="J34" s="6"/>
      <c r="K34" s="6"/>
      <c r="L34" s="5"/>
    </row>
    <row r="35" spans="1:12" x14ac:dyDescent="0.25">
      <c r="A35" s="5">
        <v>454</v>
      </c>
      <c r="B35" s="6" t="s">
        <v>19</v>
      </c>
      <c r="C35" s="6" t="s">
        <v>11</v>
      </c>
      <c r="D35" s="5" t="s">
        <v>12</v>
      </c>
      <c r="E35" s="5">
        <v>20</v>
      </c>
      <c r="F35" s="5" t="s">
        <v>31</v>
      </c>
      <c r="G35" s="5">
        <v>2024</v>
      </c>
      <c r="H35" s="5">
        <v>7</v>
      </c>
      <c r="I35" s="7"/>
      <c r="J35" s="6"/>
      <c r="K35" s="6"/>
      <c r="L35" s="5"/>
    </row>
    <row r="36" spans="1:12" x14ac:dyDescent="0.25">
      <c r="A36" s="5">
        <v>517</v>
      </c>
      <c r="B36" s="6" t="s">
        <v>19</v>
      </c>
      <c r="C36" s="6" t="s">
        <v>11</v>
      </c>
      <c r="D36" s="5" t="s">
        <v>12</v>
      </c>
      <c r="E36" s="5">
        <v>20</v>
      </c>
      <c r="F36" s="5" t="s">
        <v>29</v>
      </c>
      <c r="G36" s="5">
        <v>2024</v>
      </c>
      <c r="H36" s="5">
        <v>7</v>
      </c>
      <c r="I36" s="7"/>
      <c r="J36" s="6"/>
      <c r="K36" s="6"/>
      <c r="L36" s="5"/>
    </row>
    <row r="40" spans="1:12" x14ac:dyDescent="0.25">
      <c r="I40" s="2" t="s">
        <v>39</v>
      </c>
      <c r="J40">
        <v>35</v>
      </c>
    </row>
    <row r="41" spans="1:12" x14ac:dyDescent="0.25">
      <c r="I41" s="2" t="s">
        <v>40</v>
      </c>
      <c r="J41" s="4">
        <f>7/35</f>
        <v>0.2</v>
      </c>
    </row>
    <row r="42" spans="1:12" x14ac:dyDescent="0.25">
      <c r="J42" s="3"/>
    </row>
  </sheetData>
  <pageMargins left="0.7" right="0.7" top="0.75" bottom="0.75" header="0.3" footer="0.3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cp:lastPrinted>2025-02-19T18:47:31Z</cp:lastPrinted>
  <dcterms:created xsi:type="dcterms:W3CDTF">2025-02-19T17:09:06Z</dcterms:created>
  <dcterms:modified xsi:type="dcterms:W3CDTF">2025-02-21T19:25:37Z</dcterms:modified>
</cp:coreProperties>
</file>