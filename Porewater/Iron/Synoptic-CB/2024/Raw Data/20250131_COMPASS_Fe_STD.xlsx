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99FE39CF-0FF7-4540-8F9A-7145433E926D}" xr6:coauthVersionLast="36" xr6:coauthVersionMax="36" xr10:uidLastSave="{00000000-0000-0000-0000-000000000000}"/>
  <bookViews>
    <workbookView xWindow="0" yWindow="0" windowWidth="18885" windowHeight="11640" xr2:uid="{B2006E89-2BC5-473C-8467-D37900EF2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" i="1" l="1"/>
  <c r="Q22" i="1"/>
  <c r="R22" i="1"/>
  <c r="S22" i="1"/>
  <c r="T22" i="1"/>
  <c r="U22" i="1"/>
  <c r="W22" i="1"/>
  <c r="X22" i="1"/>
  <c r="O22" i="1"/>
  <c r="P8" i="1"/>
  <c r="P18" i="1"/>
  <c r="O18" i="1"/>
  <c r="O8" i="1"/>
  <c r="Z18" i="1"/>
  <c r="Y18" i="1"/>
  <c r="X18" i="1"/>
  <c r="W18" i="1"/>
  <c r="V18" i="1"/>
  <c r="U18" i="1"/>
  <c r="T18" i="1"/>
  <c r="S18" i="1"/>
  <c r="R18" i="1"/>
  <c r="Q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3" i="1"/>
  <c r="Q3" i="1"/>
  <c r="R3" i="1"/>
  <c r="S3" i="1"/>
  <c r="T3" i="1"/>
  <c r="U3" i="1"/>
  <c r="V3" i="1"/>
  <c r="W3" i="1"/>
  <c r="X3" i="1"/>
  <c r="Y3" i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<sst xmlns="http://schemas.openxmlformats.org/spreadsheetml/2006/main" count="16" uniqueCount="8">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</sst>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3.833333333333333E-2</c:v>
                </c:pt>
                <c:pt idx="2">
                  <c:v>4.5666666666666668E-2</c:v>
                </c:pt>
                <c:pt idx="3">
                  <c:v>5.3999999999999999E-2</c:v>
                </c:pt>
                <c:pt idx="4">
                  <c:v>6.0999999999999999E-2</c:v>
                </c:pt>
                <c:pt idx="5">
                  <c:v>8.433333333333333E-2</c:v>
                </c:pt>
                <c:pt idx="6">
                  <c:v>0.11933333333333333</c:v>
                </c:pt>
                <c:pt idx="7">
                  <c:v>0.16233333333333333</c:v>
                </c:pt>
                <c:pt idx="8">
                  <c:v>0.20099999999999998</c:v>
                </c:pt>
                <c:pt idx="9">
                  <c:v>0.29633333333333334</c:v>
                </c:pt>
                <c:pt idx="10">
                  <c:v>0.67433333333333334</c:v>
                </c:pt>
                <c:pt idx="11">
                  <c:v>1.1106666666666667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0-4162-A092-96142369E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21504"/>
        <c:axId val="423528392"/>
      </c:scatterChart>
      <c:valAx>
        <c:axId val="42352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28392"/>
        <c:crosses val="autoZero"/>
        <c:crossBetween val="midCat"/>
      </c:valAx>
      <c:valAx>
        <c:axId val="42352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2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4.0666666666666663E-2</c:v>
                </c:pt>
                <c:pt idx="2">
                  <c:v>5.1999999999999998E-2</c:v>
                </c:pt>
                <c:pt idx="3">
                  <c:v>7.0333333333333345E-2</c:v>
                </c:pt>
                <c:pt idx="4">
                  <c:v>8.1000000000000003E-2</c:v>
                </c:pt>
                <c:pt idx="5">
                  <c:v>0.11933333333333333</c:v>
                </c:pt>
                <c:pt idx="6">
                  <c:v>0.17233333333333334</c:v>
                </c:pt>
                <c:pt idx="7">
                  <c:v>0.25366666666666665</c:v>
                </c:pt>
                <c:pt idx="8">
                  <c:v>0.2993333333333334</c:v>
                </c:pt>
                <c:pt idx="9">
                  <c:v>0.45199999999999996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D-4D66-83F2-0C908E3C2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56408"/>
        <c:axId val="425562312"/>
      </c:scatterChart>
      <c:valAx>
        <c:axId val="42555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62312"/>
        <c:crosses val="autoZero"/>
        <c:crossBetween val="midCat"/>
      </c:valAx>
      <c:valAx>
        <c:axId val="42556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6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0.04</c:v>
                </c:pt>
                <c:pt idx="1">
                  <c:v>4.0500000000000001E-2</c:v>
                </c:pt>
                <c:pt idx="2">
                  <c:v>4.6000000000000006E-2</c:v>
                </c:pt>
                <c:pt idx="3">
                  <c:v>5.2333333333333336E-2</c:v>
                </c:pt>
                <c:pt idx="4">
                  <c:v>5.9333333333333328E-2</c:v>
                </c:pt>
                <c:pt idx="5">
                  <c:v>7.8666666666666663E-2</c:v>
                </c:pt>
                <c:pt idx="6">
                  <c:v>0.10466666666666667</c:v>
                </c:pt>
                <c:pt idx="7">
                  <c:v>0.13100000000000001</c:v>
                </c:pt>
                <c:pt idx="8">
                  <c:v>0.16033333333333333</c:v>
                </c:pt>
                <c:pt idx="9">
                  <c:v>0.23266666666666666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9-43E0-B8D6-A318C4EF1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58704"/>
        <c:axId val="429057864"/>
      </c:scatterChart>
      <c:valAx>
        <c:axId val="4255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57864"/>
        <c:crosses val="autoZero"/>
        <c:crossBetween val="midCat"/>
      </c:valAx>
      <c:valAx>
        <c:axId val="42905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Sheet1!$N$21:$X$21</c:f>
              <c:numCache>
                <c:formatCode>General</c:formatCode>
                <c:ptCount val="11"/>
                <c:pt idx="1">
                  <c:v>0</c:v>
                </c:pt>
                <c:pt idx="2">
                  <c:v>0.6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18</c:v>
                </c:pt>
                <c:pt idx="7">
                  <c:v>30</c:v>
                </c:pt>
                <c:pt idx="8">
                  <c:v>45</c:v>
                </c:pt>
                <c:pt idx="9">
                  <c:v>60</c:v>
                </c:pt>
                <c:pt idx="10">
                  <c:v>100</c:v>
                </c:pt>
              </c:numCache>
            </c:numRef>
          </c:xVal>
          <c:yVal>
            <c:numRef>
              <c:f>Sheet1!$N$22:$X$22</c:f>
              <c:numCache>
                <c:formatCode>General</c:formatCode>
                <c:ptCount val="11"/>
                <c:pt idx="1">
                  <c:v>6.6666666666666263E-4</c:v>
                </c:pt>
                <c:pt idx="2">
                  <c:v>2.3333333333333331E-3</c:v>
                </c:pt>
                <c:pt idx="3">
                  <c:v>6.3333333333333297E-3</c:v>
                </c:pt>
                <c:pt idx="4">
                  <c:v>1.6333333333333346E-2</c:v>
                </c:pt>
                <c:pt idx="5">
                  <c:v>2.0000000000000004E-2</c:v>
                </c:pt>
                <c:pt idx="6">
                  <c:v>3.5000000000000003E-2</c:v>
                </c:pt>
                <c:pt idx="7">
                  <c:v>5.3000000000000005E-2</c:v>
                </c:pt>
                <c:pt idx="9">
                  <c:v>9.8333333333333411E-2</c:v>
                </c:pt>
                <c:pt idx="10">
                  <c:v>0.15566666666666662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6-4ED3-B8E0-D4F61E44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15168"/>
        <c:axId val="423524128"/>
      </c:scatterChart>
      <c:valAx>
        <c:axId val="3420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24128"/>
        <c:crosses val="autoZero"/>
        <c:crossBetween val="midCat"/>
      </c:valAx>
      <c:valAx>
        <c:axId val="4235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1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128587</xdr:colOff>
      <xdr:row>0</xdr:row>
      <xdr:rowOff>52387</xdr:rowOff>
    </xdr:from>
    <xdr:to>
      <xdr:col>33</xdr:col>
      <xdr:colOff>433387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D75C6-F58B-435A-879E-F752F10D1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185737</xdr:colOff>
      <xdr:row>15</xdr:row>
      <xdr:rowOff>4762</xdr:rowOff>
    </xdr:from>
    <xdr:to>
      <xdr:col>33</xdr:col>
      <xdr:colOff>490537</xdr:colOff>
      <xdr:row>29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4B1A09-C149-43C9-9067-55C380A4C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166687</xdr:colOff>
      <xdr:row>23</xdr:row>
      <xdr:rowOff>80962</xdr:rowOff>
    </xdr:from>
    <xdr:to>
      <xdr:col>27</xdr:col>
      <xdr:colOff>471487</xdr:colOff>
      <xdr:row>37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10C83-8071-433F-B8B9-782B445AE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433387</xdr:colOff>
      <xdr:row>7</xdr:row>
      <xdr:rowOff>52387</xdr:rowOff>
    </xdr:from>
    <xdr:to>
      <xdr:col>21</xdr:col>
      <xdr:colOff>128587</xdr:colOff>
      <xdr:row>21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190128-F007-45CB-A316-FBEA05987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B376-324A-4AC1-860F-542EF9C60660}">
  <dimension ref="A1:Z22"/>
  <sheetViews>
    <sheetView tabSelected="1" topLeftCell="Q1" workbookViewId="0">
      <selection activeCell="AH32" sqref="AH32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4.5999999999999999E-2</v>
      </c>
      <c r="E2" s="3">
        <v>5.5E-2</v>
      </c>
      <c r="F2" s="3">
        <v>6.4000000000000001E-2</v>
      </c>
      <c r="G2" s="3">
        <v>8.5999999999999993E-2</v>
      </c>
      <c r="H2" s="3">
        <v>0.113</v>
      </c>
      <c r="I2" s="3">
        <v>0.17399999999999999</v>
      </c>
      <c r="J2" s="3">
        <v>0.19500000000000001</v>
      </c>
      <c r="K2" s="3">
        <v>0.28499999999999998</v>
      </c>
      <c r="L2" s="3">
        <v>0.622</v>
      </c>
      <c r="M2" s="3">
        <v>1.083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3.7999999999999999E-2</v>
      </c>
      <c r="D3" s="3">
        <v>4.4999999999999998E-2</v>
      </c>
      <c r="E3" s="3">
        <v>5.3999999999999999E-2</v>
      </c>
      <c r="F3" s="3">
        <v>0.06</v>
      </c>
      <c r="G3" s="3">
        <v>8.7999999999999995E-2</v>
      </c>
      <c r="H3" s="3">
        <v>0.129</v>
      </c>
      <c r="I3" s="3">
        <v>0.16200000000000001</v>
      </c>
      <c r="J3" s="3">
        <v>0.217</v>
      </c>
      <c r="K3" s="3">
        <v>0.28899999999999998</v>
      </c>
      <c r="L3" s="3">
        <v>0.72399999999999998</v>
      </c>
      <c r="M3" s="3">
        <v>1.1220000000000001</v>
      </c>
      <c r="N3" s="4">
        <v>562</v>
      </c>
      <c r="O3">
        <f>AVERAGE(B2:B4)</f>
        <v>3.6999999999999998E-2</v>
      </c>
      <c r="P3">
        <f t="shared" ref="P3:Z3" si="0">AVERAGE(C2:C4)</f>
        <v>3.833333333333333E-2</v>
      </c>
      <c r="Q3">
        <f t="shared" si="0"/>
        <v>4.5666666666666668E-2</v>
      </c>
      <c r="R3">
        <f t="shared" si="0"/>
        <v>5.3999999999999999E-2</v>
      </c>
      <c r="S3">
        <f t="shared" si="0"/>
        <v>6.0999999999999999E-2</v>
      </c>
      <c r="T3">
        <f t="shared" si="0"/>
        <v>8.433333333333333E-2</v>
      </c>
      <c r="U3">
        <f t="shared" si="0"/>
        <v>0.11933333333333333</v>
      </c>
      <c r="V3">
        <f t="shared" si="0"/>
        <v>0.16233333333333333</v>
      </c>
      <c r="W3">
        <f t="shared" si="0"/>
        <v>0.20099999999999998</v>
      </c>
      <c r="X3">
        <f t="shared" si="0"/>
        <v>0.29633333333333334</v>
      </c>
      <c r="Y3">
        <f t="shared" si="0"/>
        <v>0.67433333333333334</v>
      </c>
      <c r="Z3">
        <f t="shared" si="0"/>
        <v>1.1106666666666667</v>
      </c>
    </row>
    <row r="4" spans="1:26" x14ac:dyDescent="0.25">
      <c r="A4" s="2" t="s">
        <v>2</v>
      </c>
      <c r="B4" s="3">
        <v>3.6999999999999998E-2</v>
      </c>
      <c r="C4" s="3">
        <v>3.7999999999999999E-2</v>
      </c>
      <c r="D4" s="3">
        <v>4.5999999999999999E-2</v>
      </c>
      <c r="E4" s="3">
        <v>5.2999999999999999E-2</v>
      </c>
      <c r="F4" s="3">
        <v>5.8999999999999997E-2</v>
      </c>
      <c r="G4" s="3">
        <v>7.9000000000000001E-2</v>
      </c>
      <c r="H4" s="3">
        <v>0.11600000000000001</v>
      </c>
      <c r="I4" s="3">
        <v>0.151</v>
      </c>
      <c r="J4" s="3">
        <v>0.191</v>
      </c>
      <c r="K4" s="3">
        <v>0.315</v>
      </c>
      <c r="L4" s="3">
        <v>0.67700000000000005</v>
      </c>
      <c r="M4" s="3">
        <v>1.127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3.7999999999999999E-2</v>
      </c>
      <c r="H5" s="3">
        <v>3.7999999999999999E-2</v>
      </c>
      <c r="I5" s="3">
        <v>3.7999999999999999E-2</v>
      </c>
      <c r="J5" s="3">
        <v>3.9E-2</v>
      </c>
      <c r="K5" s="3">
        <v>4.7E-2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3.6999999999999998E-2</v>
      </c>
      <c r="C6" s="3">
        <v>3.9E-2</v>
      </c>
      <c r="D6" s="3">
        <v>3.6999999999999998E-2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3.6999999999999998E-2</v>
      </c>
      <c r="J6" s="3">
        <v>3.7999999999999999E-2</v>
      </c>
      <c r="K6" s="3">
        <v>4.7E-2</v>
      </c>
      <c r="L6" s="3">
        <v>4.7E-2</v>
      </c>
      <c r="M6" s="3">
        <v>4.7E-2</v>
      </c>
      <c r="N6" s="4">
        <v>562</v>
      </c>
    </row>
    <row r="7" spans="1:26" x14ac:dyDescent="0.25">
      <c r="A7" s="2" t="s">
        <v>5</v>
      </c>
      <c r="B7" s="3">
        <v>3.9E-2</v>
      </c>
      <c r="C7" s="3">
        <v>3.6999999999999998E-2</v>
      </c>
      <c r="D7" s="3">
        <v>3.6999999999999998E-2</v>
      </c>
      <c r="E7" s="3">
        <v>3.7999999999999999E-2</v>
      </c>
      <c r="F7" s="3">
        <v>3.6999999999999998E-2</v>
      </c>
      <c r="G7" s="3">
        <v>3.6999999999999998E-2</v>
      </c>
      <c r="H7" s="3">
        <v>3.7999999999999999E-2</v>
      </c>
      <c r="I7" s="3">
        <v>3.7999999999999999E-2</v>
      </c>
      <c r="J7" s="3">
        <v>3.7999999999999999E-2</v>
      </c>
      <c r="K7" s="3">
        <v>0.04</v>
      </c>
      <c r="L7" s="3">
        <v>0.04</v>
      </c>
      <c r="M7" s="3">
        <v>4.1000000000000002E-2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4.5999999999999999E-2</v>
      </c>
      <c r="C8" s="3">
        <v>4.5999999999999999E-2</v>
      </c>
      <c r="D8" s="3">
        <v>0.04</v>
      </c>
      <c r="E8" s="3">
        <v>3.7999999999999999E-2</v>
      </c>
      <c r="F8" s="3">
        <v>3.6999999999999998E-2</v>
      </c>
      <c r="G8" s="3">
        <v>3.7999999999999999E-2</v>
      </c>
      <c r="H8" s="3">
        <v>3.6999999999999998E-2</v>
      </c>
      <c r="I8" s="3">
        <v>3.7999999999999999E-2</v>
      </c>
      <c r="J8" s="3">
        <v>3.7999999999999999E-2</v>
      </c>
      <c r="K8" s="3">
        <v>3.9E-2</v>
      </c>
      <c r="L8" s="3">
        <v>0.04</v>
      </c>
      <c r="M8" s="3">
        <v>4.1000000000000002E-2</v>
      </c>
      <c r="N8" s="4">
        <v>562</v>
      </c>
      <c r="O8">
        <f>AVERAGE(B7,B9)</f>
        <v>3.85E-2</v>
      </c>
      <c r="P8">
        <f>AVERAGE(C7,C9)</f>
        <v>3.7499999999999999E-2</v>
      </c>
      <c r="Q8">
        <f t="shared" ref="Q8" si="1">AVERAGE(D7:D9)</f>
        <v>3.9333333333333331E-2</v>
      </c>
      <c r="R8">
        <f t="shared" ref="R8" si="2">AVERAGE(E7:E9)</f>
        <v>3.8666666666666662E-2</v>
      </c>
      <c r="S8">
        <f t="shared" ref="S8" si="3">AVERAGE(F7:F9)</f>
        <v>3.7666666666666661E-2</v>
      </c>
      <c r="T8">
        <f t="shared" ref="T8" si="4">AVERAGE(G7:G9)</f>
        <v>3.7333333333333329E-2</v>
      </c>
      <c r="U8">
        <f t="shared" ref="U8" si="5">AVERAGE(H7:H9)</f>
        <v>3.7666666666666661E-2</v>
      </c>
      <c r="V8">
        <f t="shared" ref="V8" si="6">AVERAGE(I7:I9)</f>
        <v>3.7999999999999999E-2</v>
      </c>
      <c r="W8">
        <f t="shared" ref="W8" si="7">AVERAGE(J7:J9)</f>
        <v>3.9666666666666663E-2</v>
      </c>
      <c r="X8">
        <f t="shared" ref="X8" si="8">AVERAGE(K7:K9)</f>
        <v>3.9333333333333331E-2</v>
      </c>
      <c r="Y8">
        <f t="shared" ref="Y8" si="9">AVERAGE(L7:L9)</f>
        <v>0.04</v>
      </c>
      <c r="Z8">
        <f t="shared" ref="Z8" si="10">AVERAGE(M7:M9)</f>
        <v>4.1000000000000002E-2</v>
      </c>
    </row>
    <row r="9" spans="1:26" x14ac:dyDescent="0.25">
      <c r="A9" s="2" t="s">
        <v>7</v>
      </c>
      <c r="B9" s="3">
        <v>3.7999999999999999E-2</v>
      </c>
      <c r="C9" s="3">
        <v>3.7999999999999999E-2</v>
      </c>
      <c r="D9" s="3">
        <v>4.1000000000000002E-2</v>
      </c>
      <c r="E9" s="3">
        <v>0.04</v>
      </c>
      <c r="F9" s="3">
        <v>3.9E-2</v>
      </c>
      <c r="G9" s="3">
        <v>3.6999999999999998E-2</v>
      </c>
      <c r="H9" s="3">
        <v>3.7999999999999999E-2</v>
      </c>
      <c r="I9" s="3">
        <v>3.7999999999999999E-2</v>
      </c>
      <c r="J9" s="3">
        <v>4.2999999999999997E-2</v>
      </c>
      <c r="K9" s="3">
        <v>3.9E-2</v>
      </c>
      <c r="L9" s="3">
        <v>0.04</v>
      </c>
      <c r="M9" s="3">
        <v>4.1000000000000002E-2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3.7999999999999999E-2</v>
      </c>
      <c r="C12" s="3">
        <v>4.1000000000000002E-2</v>
      </c>
      <c r="D12" s="3">
        <v>5.1999999999999998E-2</v>
      </c>
      <c r="E12" s="3">
        <v>7.9000000000000001E-2</v>
      </c>
      <c r="F12" s="3">
        <v>8.3000000000000004E-2</v>
      </c>
      <c r="G12" s="3">
        <v>0.123</v>
      </c>
      <c r="H12" s="3">
        <v>0.17</v>
      </c>
      <c r="I12" s="3">
        <v>0.26800000000000002</v>
      </c>
      <c r="J12" s="3">
        <v>0.27100000000000002</v>
      </c>
      <c r="K12" s="3">
        <v>0.44700000000000001</v>
      </c>
      <c r="L12" s="3">
        <v>0.81499999999999995</v>
      </c>
      <c r="M12" s="3">
        <v>1.1850000000000001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3.7999999999999999E-2</v>
      </c>
      <c r="C13" s="3">
        <v>0.04</v>
      </c>
      <c r="D13" s="3">
        <v>5.1999999999999998E-2</v>
      </c>
      <c r="E13" s="3">
        <v>6.6000000000000003E-2</v>
      </c>
      <c r="F13" s="3">
        <v>8.1000000000000003E-2</v>
      </c>
      <c r="G13" s="3">
        <v>0.121</v>
      </c>
      <c r="H13" s="3">
        <v>0.17899999999999999</v>
      </c>
      <c r="I13" s="3">
        <v>0.253</v>
      </c>
      <c r="J13" s="3">
        <v>0.32100000000000001</v>
      </c>
      <c r="K13" s="3">
        <v>0.42899999999999999</v>
      </c>
      <c r="L13" s="3">
        <v>0.88900000000000001</v>
      </c>
      <c r="M13" s="3">
        <v>1.1819999999999999</v>
      </c>
      <c r="N13" s="4">
        <v>562</v>
      </c>
      <c r="O13">
        <f>AVERAGE(B12:B14)</f>
        <v>3.7666666666666661E-2</v>
      </c>
      <c r="P13">
        <f t="shared" ref="P13" si="11">AVERAGE(C12:C14)</f>
        <v>4.0666666666666663E-2</v>
      </c>
      <c r="Q13">
        <f t="shared" ref="Q13" si="12">AVERAGE(D12:D14)</f>
        <v>5.1999999999999998E-2</v>
      </c>
      <c r="R13">
        <f t="shared" ref="R13" si="13">AVERAGE(E12:E14)</f>
        <v>7.0333333333333345E-2</v>
      </c>
      <c r="S13">
        <f t="shared" ref="S13" si="14">AVERAGE(F12:F14)</f>
        <v>8.1000000000000003E-2</v>
      </c>
      <c r="T13">
        <f t="shared" ref="T13" si="15">AVERAGE(G12:G14)</f>
        <v>0.11933333333333333</v>
      </c>
      <c r="U13">
        <f t="shared" ref="U13" si="16">AVERAGE(H12:H14)</f>
        <v>0.17233333333333334</v>
      </c>
      <c r="V13">
        <f t="shared" ref="V13" si="17">AVERAGE(I12:I14)</f>
        <v>0.25366666666666665</v>
      </c>
      <c r="W13">
        <f t="shared" ref="W13" si="18">AVERAGE(J12:J14)</f>
        <v>0.2993333333333334</v>
      </c>
      <c r="X13">
        <f t="shared" ref="X13" si="19">AVERAGE(K12:K14)</f>
        <v>0.45199999999999996</v>
      </c>
      <c r="Y13">
        <f t="shared" ref="Y13" si="20">AVERAGE(L12:L14)</f>
        <v>0.85399999999999998</v>
      </c>
      <c r="Z13">
        <f t="shared" ref="Z13" si="21">AVERAGE(M12:M14)</f>
        <v>1.1983333333333333</v>
      </c>
    </row>
    <row r="14" spans="1:26" x14ac:dyDescent="0.25">
      <c r="A14" s="2" t="s">
        <v>2</v>
      </c>
      <c r="B14" s="3">
        <v>3.6999999999999998E-2</v>
      </c>
      <c r="C14" s="3">
        <v>4.1000000000000002E-2</v>
      </c>
      <c r="D14" s="3">
        <v>5.1999999999999998E-2</v>
      </c>
      <c r="E14" s="3">
        <v>6.6000000000000003E-2</v>
      </c>
      <c r="F14" s="3">
        <v>7.9000000000000001E-2</v>
      </c>
      <c r="G14" s="3">
        <v>0.114</v>
      </c>
      <c r="H14" s="3">
        <v>0.16800000000000001</v>
      </c>
      <c r="I14" s="3">
        <v>0.24</v>
      </c>
      <c r="J14" s="3">
        <v>0.30599999999999999</v>
      </c>
      <c r="K14" s="3">
        <v>0.48</v>
      </c>
      <c r="L14" s="3">
        <v>0.85799999999999998</v>
      </c>
      <c r="M14" s="3">
        <v>1.228</v>
      </c>
      <c r="N14" s="4">
        <v>562</v>
      </c>
    </row>
    <row r="15" spans="1:26" x14ac:dyDescent="0.25">
      <c r="A15" s="2" t="s">
        <v>3</v>
      </c>
      <c r="B15" s="3">
        <v>3.9E-2</v>
      </c>
      <c r="C15" s="3">
        <v>4.2000000000000003E-2</v>
      </c>
      <c r="D15" s="3">
        <v>0.04</v>
      </c>
      <c r="E15" s="3">
        <v>4.2000000000000003E-2</v>
      </c>
      <c r="F15" s="3">
        <v>0.04</v>
      </c>
      <c r="G15" s="3">
        <v>4.1000000000000002E-2</v>
      </c>
      <c r="H15" s="3">
        <v>0.04</v>
      </c>
      <c r="I15" s="3">
        <v>0.04</v>
      </c>
      <c r="J15" s="3">
        <v>4.1000000000000002E-2</v>
      </c>
      <c r="K15" s="3">
        <v>4.8000000000000001E-2</v>
      </c>
      <c r="L15" s="3">
        <v>4.8000000000000001E-2</v>
      </c>
      <c r="M15" s="3">
        <v>4.8000000000000001E-2</v>
      </c>
      <c r="N15" s="4">
        <v>562</v>
      </c>
    </row>
    <row r="16" spans="1:26" x14ac:dyDescent="0.25">
      <c r="A16" s="2" t="s">
        <v>4</v>
      </c>
      <c r="B16" s="3">
        <v>4.1000000000000002E-2</v>
      </c>
      <c r="C16" s="3">
        <v>4.1000000000000002E-2</v>
      </c>
      <c r="D16" s="3">
        <v>3.9E-2</v>
      </c>
      <c r="E16" s="3">
        <v>0.04</v>
      </c>
      <c r="F16" s="3">
        <v>0.04</v>
      </c>
      <c r="G16" s="3">
        <v>4.1000000000000002E-2</v>
      </c>
      <c r="H16" s="3">
        <v>0.04</v>
      </c>
      <c r="I16" s="3">
        <v>0.04</v>
      </c>
      <c r="J16" s="3">
        <v>4.1000000000000002E-2</v>
      </c>
      <c r="K16" s="3">
        <v>4.9000000000000002E-2</v>
      </c>
      <c r="L16" s="3">
        <v>4.9000000000000002E-2</v>
      </c>
      <c r="M16" s="3">
        <v>4.9000000000000002E-2</v>
      </c>
      <c r="N16" s="4">
        <v>562</v>
      </c>
    </row>
    <row r="17" spans="1:26" x14ac:dyDescent="0.25">
      <c r="A17" s="2" t="s">
        <v>5</v>
      </c>
      <c r="B17" s="3">
        <v>4.2000000000000003E-2</v>
      </c>
      <c r="C17" s="3">
        <v>3.9E-2</v>
      </c>
      <c r="D17" s="3">
        <v>4.3999999999999997E-2</v>
      </c>
      <c r="E17" s="3">
        <v>5.1999999999999998E-2</v>
      </c>
      <c r="F17" s="3">
        <v>5.8000000000000003E-2</v>
      </c>
      <c r="G17" s="3">
        <v>7.9000000000000001E-2</v>
      </c>
      <c r="H17" s="3">
        <v>0.108</v>
      </c>
      <c r="I17" s="3">
        <v>0.122</v>
      </c>
      <c r="J17" s="3">
        <v>0.151</v>
      </c>
      <c r="K17" s="3">
        <v>0.23</v>
      </c>
      <c r="L17" s="3">
        <v>0.29499999999999998</v>
      </c>
      <c r="M17" s="3">
        <v>0.33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4.8000000000000001E-2</v>
      </c>
      <c r="C18" s="3">
        <v>4.9000000000000002E-2</v>
      </c>
      <c r="D18" s="3">
        <v>4.5999999999999999E-2</v>
      </c>
      <c r="E18" s="3">
        <v>5.1999999999999998E-2</v>
      </c>
      <c r="F18" s="3">
        <v>0.06</v>
      </c>
      <c r="G18" s="3">
        <v>7.9000000000000001E-2</v>
      </c>
      <c r="H18" s="3">
        <v>0.10199999999999999</v>
      </c>
      <c r="I18" s="3">
        <v>0.13</v>
      </c>
      <c r="J18" s="3">
        <v>0.14599999999999999</v>
      </c>
      <c r="K18" s="3">
        <v>0.24099999999999999</v>
      </c>
      <c r="L18" s="3">
        <v>0.315</v>
      </c>
      <c r="M18" s="3">
        <v>0.34</v>
      </c>
      <c r="N18" s="4">
        <v>562</v>
      </c>
      <c r="O18">
        <f>AVERAGE(B17,B19)</f>
        <v>0.04</v>
      </c>
      <c r="P18">
        <f>AVERAGE(C17,C19)</f>
        <v>4.0500000000000001E-2</v>
      </c>
      <c r="Q18">
        <f t="shared" ref="Q18" si="22">AVERAGE(D17:D19)</f>
        <v>4.6000000000000006E-2</v>
      </c>
      <c r="R18">
        <f t="shared" ref="R18" si="23">AVERAGE(E17:E19)</f>
        <v>5.2333333333333336E-2</v>
      </c>
      <c r="S18">
        <f t="shared" ref="S18" si="24">AVERAGE(F17:F19)</f>
        <v>5.9333333333333328E-2</v>
      </c>
      <c r="T18">
        <f t="shared" ref="T18" si="25">AVERAGE(G17:G19)</f>
        <v>7.8666666666666663E-2</v>
      </c>
      <c r="U18">
        <f t="shared" ref="U18" si="26">AVERAGE(H17:H19)</f>
        <v>0.10466666666666667</v>
      </c>
      <c r="V18">
        <f t="shared" ref="V18" si="27">AVERAGE(I17:I19)</f>
        <v>0.13100000000000001</v>
      </c>
      <c r="W18">
        <f t="shared" ref="W18" si="28">AVERAGE(J17:J19)</f>
        <v>0.16033333333333333</v>
      </c>
      <c r="X18">
        <f t="shared" ref="X18" si="29">AVERAGE(K17:K19)</f>
        <v>0.23266666666666666</v>
      </c>
      <c r="Y18">
        <f t="shared" ref="Y18" si="30">AVERAGE(L17:L19)</f>
        <v>0.30599999999999999</v>
      </c>
      <c r="Z18">
        <f t="shared" ref="Z18" si="31">AVERAGE(M17:M19)</f>
        <v>0.33700000000000002</v>
      </c>
    </row>
    <row r="19" spans="1:26" x14ac:dyDescent="0.25">
      <c r="A19" s="2" t="s">
        <v>7</v>
      </c>
      <c r="B19" s="3">
        <v>3.7999999999999999E-2</v>
      </c>
      <c r="C19" s="3">
        <v>4.2000000000000003E-2</v>
      </c>
      <c r="D19" s="3">
        <v>4.8000000000000001E-2</v>
      </c>
      <c r="E19" s="3">
        <v>5.2999999999999999E-2</v>
      </c>
      <c r="F19" s="3">
        <v>0.06</v>
      </c>
      <c r="G19" s="3">
        <v>7.8E-2</v>
      </c>
      <c r="H19" s="3">
        <v>0.104</v>
      </c>
      <c r="I19" s="3">
        <v>0.14099999999999999</v>
      </c>
      <c r="J19" s="3">
        <v>0.184</v>
      </c>
      <c r="K19" s="3">
        <v>0.22700000000000001</v>
      </c>
      <c r="L19" s="3">
        <v>0.308</v>
      </c>
      <c r="M19" s="3">
        <v>0.34100000000000003</v>
      </c>
      <c r="N19" s="4">
        <v>562</v>
      </c>
    </row>
    <row r="21" spans="1:26" x14ac:dyDescent="0.25">
      <c r="O21" s="5">
        <v>0</v>
      </c>
      <c r="P21" s="5">
        <v>0.6</v>
      </c>
      <c r="Q21" s="5">
        <v>3</v>
      </c>
      <c r="R21" s="5">
        <v>6</v>
      </c>
      <c r="S21" s="5">
        <v>9</v>
      </c>
      <c r="T21" s="5">
        <v>18</v>
      </c>
      <c r="U21" s="5">
        <v>30</v>
      </c>
      <c r="V21" s="5">
        <v>45</v>
      </c>
      <c r="W21" s="5">
        <v>60</v>
      </c>
      <c r="X21" s="5">
        <v>100</v>
      </c>
      <c r="Y21" s="5"/>
      <c r="Z21" s="5"/>
    </row>
    <row r="22" spans="1:26" x14ac:dyDescent="0.25">
      <c r="O22">
        <f>O13-O3</f>
        <v>6.6666666666666263E-4</v>
      </c>
      <c r="P22">
        <f t="shared" ref="P22:X22" si="32">P13-P3</f>
        <v>2.3333333333333331E-3</v>
      </c>
      <c r="Q22">
        <f t="shared" si="32"/>
        <v>6.3333333333333297E-3</v>
      </c>
      <c r="R22">
        <f t="shared" si="32"/>
        <v>1.6333333333333346E-2</v>
      </c>
      <c r="S22">
        <f t="shared" si="32"/>
        <v>2.0000000000000004E-2</v>
      </c>
      <c r="T22">
        <f t="shared" si="32"/>
        <v>3.5000000000000003E-2</v>
      </c>
      <c r="U22">
        <f t="shared" si="32"/>
        <v>5.3000000000000005E-2</v>
      </c>
      <c r="W22">
        <f t="shared" si="32"/>
        <v>9.8333333333333411E-2</v>
      </c>
      <c r="X22">
        <f t="shared" si="32"/>
        <v>0.15566666666666662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2025-01-31T15:54:09Z</dcterms:created>
  <dcterms:modified xsi:type="dcterms:W3CDTF">2025-01-31T16:53:03Z</dcterms:modified>
</cp:coreProperties>
</file>