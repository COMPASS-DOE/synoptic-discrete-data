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GlobalChangeEco\Porewater_R scripts &amp; Data\Data\Fe\COMPASS\Synoptic\Raw Data\"/>
    </mc:Choice>
  </mc:AlternateContent>
  <xr:revisionPtr revIDLastSave="0" documentId="13_ncr:1_{DCF70499-1419-4D89-8AE9-6A7A2BD1AD36}" xr6:coauthVersionLast="47" xr6:coauthVersionMax="47" xr10:uidLastSave="{00000000-0000-0000-0000-000000000000}"/>
  <bookViews>
    <workbookView xWindow="1560" yWindow="2715" windowWidth="16815" windowHeight="9885" xr2:uid="{133437B1-E00C-4214-8DC5-88EE43175C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8" i="1" l="1"/>
  <c r="M28" i="1" s="1"/>
  <c r="K28" i="1"/>
  <c r="J28" i="1"/>
  <c r="I28" i="1"/>
  <c r="H28" i="1"/>
  <c r="F28" i="1"/>
  <c r="G28" i="1" s="1"/>
  <c r="E28" i="1"/>
  <c r="C28" i="1"/>
  <c r="D28" i="1" s="1"/>
  <c r="B28" i="1"/>
  <c r="L27" i="1"/>
  <c r="M27" i="1" s="1"/>
  <c r="K27" i="1"/>
  <c r="J27" i="1"/>
  <c r="I27" i="1"/>
  <c r="H27" i="1"/>
  <c r="F27" i="1"/>
  <c r="G27" i="1" s="1"/>
  <c r="E27" i="1"/>
  <c r="C27" i="1"/>
  <c r="D27" i="1" s="1"/>
  <c r="B27" i="1"/>
  <c r="L26" i="1"/>
  <c r="M26" i="1" s="1"/>
  <c r="K26" i="1"/>
  <c r="J26" i="1"/>
  <c r="I26" i="1"/>
  <c r="H26" i="1"/>
  <c r="F26" i="1"/>
  <c r="G26" i="1" s="1"/>
  <c r="E26" i="1"/>
  <c r="C26" i="1"/>
  <c r="D26" i="1" s="1"/>
  <c r="B26" i="1"/>
  <c r="L25" i="1"/>
  <c r="M25" i="1" s="1"/>
  <c r="K25" i="1"/>
  <c r="J25" i="1"/>
  <c r="I25" i="1"/>
  <c r="H25" i="1"/>
  <c r="F25" i="1"/>
  <c r="G25" i="1" s="1"/>
  <c r="E25" i="1"/>
  <c r="C25" i="1"/>
  <c r="D25" i="1" s="1"/>
  <c r="B25" i="1"/>
  <c r="L24" i="1"/>
  <c r="M24" i="1" s="1"/>
  <c r="K24" i="1"/>
  <c r="J24" i="1"/>
  <c r="I24" i="1"/>
  <c r="H24" i="1"/>
  <c r="F24" i="1"/>
  <c r="G24" i="1" s="1"/>
  <c r="E24" i="1"/>
  <c r="C24" i="1"/>
  <c r="D24" i="1" s="1"/>
  <c r="B24" i="1"/>
  <c r="L23" i="1"/>
  <c r="M23" i="1" s="1"/>
  <c r="K23" i="1"/>
  <c r="J23" i="1"/>
  <c r="I23" i="1"/>
  <c r="H23" i="1"/>
  <c r="F23" i="1"/>
  <c r="G23" i="1" s="1"/>
  <c r="E23" i="1"/>
  <c r="C23" i="1"/>
  <c r="D23" i="1" s="1"/>
  <c r="B23" i="1"/>
  <c r="L22" i="1"/>
  <c r="M22" i="1" s="1"/>
  <c r="K22" i="1"/>
  <c r="J22" i="1"/>
  <c r="I22" i="1"/>
  <c r="H22" i="1"/>
  <c r="F22" i="1"/>
  <c r="G22" i="1" s="1"/>
  <c r="E22" i="1"/>
  <c r="C22" i="1"/>
  <c r="D22" i="1" s="1"/>
  <c r="B22" i="1"/>
  <c r="L21" i="1"/>
  <c r="M21" i="1" s="1"/>
  <c r="K21" i="1"/>
  <c r="J21" i="1"/>
  <c r="I21" i="1"/>
  <c r="H21" i="1"/>
  <c r="F21" i="1"/>
  <c r="G21" i="1" s="1"/>
  <c r="E21" i="1"/>
  <c r="C21" i="1"/>
  <c r="D21" i="1" s="1"/>
  <c r="B21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<sst xmlns="http://schemas.openxmlformats.org/spreadsheetml/2006/main" count="16" uniqueCount="8">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</sst>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18539-D5F5-4B02-9F35-9BCF4A9C0BA9}">
  <dimension ref="A1:N28"/>
  <sheetViews>
    <sheetView tabSelected="1" topLeftCell="A13" workbookViewId="0">
      <selection activeCell="L21" activeCellId="3" sqref="C21:C28 F21:F28 I21:I28 L21:L28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0.19600000000000001</v>
      </c>
      <c r="C2" s="3">
        <v>0.19900000000000001</v>
      </c>
      <c r="D2" s="3">
        <v>0.193</v>
      </c>
      <c r="E2" s="3">
        <v>0.55100000000000005</v>
      </c>
      <c r="F2" s="3">
        <v>0.52400000000000002</v>
      </c>
      <c r="G2" s="3">
        <v>0.45500000000000002</v>
      </c>
      <c r="H2" s="3">
        <v>5.0999999999999997E-2</v>
      </c>
      <c r="I2" s="3">
        <v>5.1999999999999998E-2</v>
      </c>
      <c r="J2" s="3">
        <v>5.0999999999999997E-2</v>
      </c>
      <c r="K2" s="3">
        <v>0.57099999999999995</v>
      </c>
      <c r="L2" s="3">
        <v>0.54400000000000004</v>
      </c>
      <c r="M2" s="3">
        <v>0.52400000000000002</v>
      </c>
      <c r="N2" s="4">
        <v>562</v>
      </c>
    </row>
    <row r="3" spans="1:14" x14ac:dyDescent="0.25">
      <c r="A3" s="2" t="s">
        <v>1</v>
      </c>
      <c r="B3" s="3">
        <v>6.2E-2</v>
      </c>
      <c r="C3" s="3">
        <v>6.4000000000000001E-2</v>
      </c>
      <c r="D3" s="3">
        <v>6.4000000000000001E-2</v>
      </c>
      <c r="E3" s="3">
        <v>6.8000000000000005E-2</v>
      </c>
      <c r="F3" s="3">
        <v>6.9000000000000006E-2</v>
      </c>
      <c r="G3" s="3">
        <v>6.8000000000000005E-2</v>
      </c>
      <c r="H3" s="3">
        <v>4.2000000000000003E-2</v>
      </c>
      <c r="I3" s="3">
        <v>0.04</v>
      </c>
      <c r="J3" s="3">
        <v>0.04</v>
      </c>
      <c r="K3" s="3">
        <v>4.4999999999999998E-2</v>
      </c>
      <c r="L3" s="3">
        <v>4.4999999999999998E-2</v>
      </c>
      <c r="M3" s="3">
        <v>4.3999999999999997E-2</v>
      </c>
      <c r="N3" s="4">
        <v>562</v>
      </c>
    </row>
    <row r="4" spans="1:14" x14ac:dyDescent="0.25">
      <c r="A4" s="2" t="s">
        <v>2</v>
      </c>
      <c r="B4" s="3">
        <v>3.7999999999999999E-2</v>
      </c>
      <c r="C4" s="3">
        <v>3.9E-2</v>
      </c>
      <c r="D4" s="3">
        <v>3.7999999999999999E-2</v>
      </c>
      <c r="E4" s="3">
        <v>5.7000000000000002E-2</v>
      </c>
      <c r="F4" s="3">
        <v>7.2999999999999995E-2</v>
      </c>
      <c r="G4" s="3">
        <v>0.06</v>
      </c>
      <c r="H4" s="3">
        <v>3.6999999999999998E-2</v>
      </c>
      <c r="I4" s="3">
        <v>3.6999999999999998E-2</v>
      </c>
      <c r="J4" s="3">
        <v>3.6999999999999998E-2</v>
      </c>
      <c r="K4" s="3">
        <v>4.2000000000000003E-2</v>
      </c>
      <c r="L4" s="3">
        <v>4.2000000000000003E-2</v>
      </c>
      <c r="M4" s="3">
        <v>4.2000000000000003E-2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3.7999999999999999E-2</v>
      </c>
      <c r="D5" s="3">
        <v>3.6999999999999998E-2</v>
      </c>
      <c r="E5" s="3">
        <v>0.622</v>
      </c>
      <c r="F5" s="3">
        <v>0.255</v>
      </c>
      <c r="G5" s="3">
        <v>0.23799999999999999</v>
      </c>
      <c r="H5" s="3">
        <v>3.6999999999999998E-2</v>
      </c>
      <c r="I5" s="3">
        <v>3.6999999999999998E-2</v>
      </c>
      <c r="J5" s="3">
        <v>3.6999999999999998E-2</v>
      </c>
      <c r="K5" s="3">
        <v>4.3999999999999997E-2</v>
      </c>
      <c r="L5" s="3">
        <v>4.3999999999999997E-2</v>
      </c>
      <c r="M5" s="3">
        <v>4.4999999999999998E-2</v>
      </c>
      <c r="N5" s="4">
        <v>562</v>
      </c>
    </row>
    <row r="6" spans="1:14" x14ac:dyDescent="0.25">
      <c r="A6" s="2" t="s">
        <v>4</v>
      </c>
      <c r="B6" s="3">
        <v>0.04</v>
      </c>
      <c r="C6" s="3">
        <v>0.04</v>
      </c>
      <c r="D6" s="3">
        <v>3.9E-2</v>
      </c>
      <c r="E6" s="3">
        <v>0.13400000000000001</v>
      </c>
      <c r="F6" s="3">
        <v>0.129</v>
      </c>
      <c r="G6" s="3">
        <v>0.127</v>
      </c>
      <c r="H6" s="3">
        <v>3.7999999999999999E-2</v>
      </c>
      <c r="I6" s="3">
        <v>3.7999999999999999E-2</v>
      </c>
      <c r="J6" s="3">
        <v>3.7999999999999999E-2</v>
      </c>
      <c r="K6" s="3">
        <v>4.5999999999999999E-2</v>
      </c>
      <c r="L6" s="3">
        <v>4.5999999999999999E-2</v>
      </c>
      <c r="M6" s="3">
        <v>4.7E-2</v>
      </c>
      <c r="N6" s="4">
        <v>562</v>
      </c>
    </row>
    <row r="7" spans="1:14" x14ac:dyDescent="0.25">
      <c r="A7" s="2" t="s">
        <v>5</v>
      </c>
      <c r="B7" s="3">
        <v>3.7999999999999999E-2</v>
      </c>
      <c r="C7" s="3">
        <v>3.7999999999999999E-2</v>
      </c>
      <c r="D7" s="3">
        <v>3.7999999999999999E-2</v>
      </c>
      <c r="E7" s="3">
        <v>3.7999999999999999E-2</v>
      </c>
      <c r="F7" s="3">
        <v>3.7999999999999999E-2</v>
      </c>
      <c r="G7" s="3">
        <v>3.7999999999999999E-2</v>
      </c>
      <c r="H7" s="3">
        <v>0.112</v>
      </c>
      <c r="I7" s="3">
        <v>0.13300000000000001</v>
      </c>
      <c r="J7" s="3">
        <v>0.13500000000000001</v>
      </c>
      <c r="K7" s="3">
        <v>5.1999999999999998E-2</v>
      </c>
      <c r="L7" s="3">
        <v>5.1999999999999998E-2</v>
      </c>
      <c r="M7" s="3">
        <v>5.1999999999999998E-2</v>
      </c>
      <c r="N7" s="4">
        <v>562</v>
      </c>
    </row>
    <row r="8" spans="1:14" x14ac:dyDescent="0.25">
      <c r="A8" s="2" t="s">
        <v>6</v>
      </c>
      <c r="B8" s="3">
        <v>3.7999999999999999E-2</v>
      </c>
      <c r="C8" s="3">
        <v>3.6999999999999998E-2</v>
      </c>
      <c r="D8" s="3">
        <v>3.7999999999999999E-2</v>
      </c>
      <c r="E8" s="3">
        <v>3.7999999999999999E-2</v>
      </c>
      <c r="F8" s="3">
        <v>3.7999999999999999E-2</v>
      </c>
      <c r="G8" s="3">
        <v>3.7999999999999999E-2</v>
      </c>
      <c r="H8" s="3">
        <v>3.7999999999999999E-2</v>
      </c>
      <c r="I8" s="3">
        <v>3.7999999999999999E-2</v>
      </c>
      <c r="J8" s="3">
        <v>3.7999999999999999E-2</v>
      </c>
      <c r="K8" s="3">
        <v>6.2E-2</v>
      </c>
      <c r="L8" s="3">
        <v>5.2999999999999999E-2</v>
      </c>
      <c r="M8" s="3">
        <v>5.2999999999999999E-2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3.7999999999999999E-2</v>
      </c>
      <c r="D9" s="3">
        <v>3.7999999999999999E-2</v>
      </c>
      <c r="E9" s="3">
        <v>3.9E-2</v>
      </c>
      <c r="F9" s="3">
        <v>3.7999999999999999E-2</v>
      </c>
      <c r="G9" s="3">
        <v>3.9E-2</v>
      </c>
      <c r="H9" s="3">
        <v>3.6999999999999998E-2</v>
      </c>
      <c r="I9" s="3">
        <v>3.6999999999999998E-2</v>
      </c>
      <c r="J9" s="3">
        <v>3.9E-2</v>
      </c>
      <c r="K9" s="3">
        <v>5.0999999999999997E-2</v>
      </c>
      <c r="L9" s="3">
        <v>5.0999999999999997E-2</v>
      </c>
      <c r="M9" s="3">
        <v>5.0999999999999997E-2</v>
      </c>
      <c r="N9" s="4">
        <v>562</v>
      </c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3">
        <v>0.34200000000000003</v>
      </c>
      <c r="C12" s="3">
        <v>0.33300000000000002</v>
      </c>
      <c r="D12" s="3">
        <v>0.33800000000000002</v>
      </c>
      <c r="E12" s="3">
        <v>0.59799999999999998</v>
      </c>
      <c r="F12" s="3">
        <v>0.55700000000000005</v>
      </c>
      <c r="G12" s="3">
        <v>0.54100000000000004</v>
      </c>
      <c r="H12" s="3">
        <v>0.188</v>
      </c>
      <c r="I12" s="3">
        <v>0.182</v>
      </c>
      <c r="J12" s="3">
        <v>0.17799999999999999</v>
      </c>
      <c r="K12" s="3">
        <v>0.59699999999999998</v>
      </c>
      <c r="L12" s="3">
        <v>0.57099999999999995</v>
      </c>
      <c r="M12" s="3">
        <v>0.55200000000000005</v>
      </c>
      <c r="N12" s="4">
        <v>562</v>
      </c>
    </row>
    <row r="13" spans="1:14" x14ac:dyDescent="0.25">
      <c r="A13" s="2" t="s">
        <v>1</v>
      </c>
      <c r="B13" s="3">
        <v>8.5000000000000006E-2</v>
      </c>
      <c r="C13" s="3">
        <v>8.8999999999999996E-2</v>
      </c>
      <c r="D13" s="3">
        <v>8.5999999999999993E-2</v>
      </c>
      <c r="E13" s="3">
        <v>7.2999999999999995E-2</v>
      </c>
      <c r="F13" s="3">
        <v>7.3999999999999996E-2</v>
      </c>
      <c r="G13" s="3">
        <v>7.2999999999999995E-2</v>
      </c>
      <c r="H13" s="3">
        <v>7.0000000000000007E-2</v>
      </c>
      <c r="I13" s="3">
        <v>6.0999999999999999E-2</v>
      </c>
      <c r="J13" s="3">
        <v>6.0999999999999999E-2</v>
      </c>
      <c r="K13" s="3">
        <v>5.7000000000000002E-2</v>
      </c>
      <c r="L13" s="3">
        <v>5.8999999999999997E-2</v>
      </c>
      <c r="M13" s="3">
        <v>5.8000000000000003E-2</v>
      </c>
      <c r="N13" s="4">
        <v>562</v>
      </c>
    </row>
    <row r="14" spans="1:14" x14ac:dyDescent="0.25">
      <c r="A14" s="2" t="s">
        <v>2</v>
      </c>
      <c r="B14" s="3">
        <v>0.04</v>
      </c>
      <c r="C14" s="3">
        <v>4.1000000000000002E-2</v>
      </c>
      <c r="D14" s="3">
        <v>0.04</v>
      </c>
      <c r="E14" s="3">
        <v>6.5000000000000002E-2</v>
      </c>
      <c r="F14" s="3">
        <v>8.1000000000000003E-2</v>
      </c>
      <c r="G14" s="3">
        <v>6.3E-2</v>
      </c>
      <c r="H14" s="3">
        <v>7.3999999999999996E-2</v>
      </c>
      <c r="I14" s="3">
        <v>6.6000000000000003E-2</v>
      </c>
      <c r="J14" s="3">
        <v>6.0999999999999999E-2</v>
      </c>
      <c r="K14" s="3">
        <v>4.5999999999999999E-2</v>
      </c>
      <c r="L14" s="3">
        <v>4.5999999999999999E-2</v>
      </c>
      <c r="M14" s="3">
        <v>4.7E-2</v>
      </c>
      <c r="N14" s="4">
        <v>562</v>
      </c>
    </row>
    <row r="15" spans="1:14" x14ac:dyDescent="0.25">
      <c r="A15" s="2" t="s">
        <v>3</v>
      </c>
      <c r="B15" s="3">
        <v>0.04</v>
      </c>
      <c r="C15" s="3">
        <v>3.7999999999999999E-2</v>
      </c>
      <c r="D15" s="3">
        <v>3.7999999999999999E-2</v>
      </c>
      <c r="E15" s="3">
        <v>0.61</v>
      </c>
      <c r="F15" s="3">
        <v>0.53300000000000003</v>
      </c>
      <c r="G15" s="3">
        <v>0.56399999999999995</v>
      </c>
      <c r="H15" s="3">
        <v>6.8000000000000005E-2</v>
      </c>
      <c r="I15" s="3">
        <v>6.8000000000000005E-2</v>
      </c>
      <c r="J15" s="3">
        <v>6.2E-2</v>
      </c>
      <c r="K15" s="3">
        <v>9.6000000000000002E-2</v>
      </c>
      <c r="L15" s="3">
        <v>9.6000000000000002E-2</v>
      </c>
      <c r="M15" s="3">
        <v>9.8000000000000004E-2</v>
      </c>
      <c r="N15" s="4">
        <v>562</v>
      </c>
    </row>
    <row r="16" spans="1:14" x14ac:dyDescent="0.25">
      <c r="A16" s="2" t="s">
        <v>4</v>
      </c>
      <c r="B16" s="3">
        <v>0.22500000000000001</v>
      </c>
      <c r="C16" s="3">
        <v>0.218</v>
      </c>
      <c r="D16" s="3">
        <v>0.222</v>
      </c>
      <c r="E16" s="3">
        <v>0.14099999999999999</v>
      </c>
      <c r="F16" s="3">
        <v>0.13400000000000001</v>
      </c>
      <c r="G16" s="3">
        <v>0.13300000000000001</v>
      </c>
      <c r="H16" s="3">
        <v>5.8000000000000003E-2</v>
      </c>
      <c r="I16" s="3">
        <v>6.0999999999999999E-2</v>
      </c>
      <c r="J16" s="3">
        <v>6.0999999999999999E-2</v>
      </c>
      <c r="K16" s="3">
        <v>6.8000000000000005E-2</v>
      </c>
      <c r="L16" s="3">
        <v>6.8000000000000005E-2</v>
      </c>
      <c r="M16" s="3">
        <v>6.8000000000000005E-2</v>
      </c>
      <c r="N16" s="4">
        <v>562</v>
      </c>
    </row>
    <row r="17" spans="1:14" x14ac:dyDescent="0.25">
      <c r="A17" s="2" t="s">
        <v>5</v>
      </c>
      <c r="B17" s="3">
        <v>8.2000000000000003E-2</v>
      </c>
      <c r="C17" s="3">
        <v>6.7000000000000004E-2</v>
      </c>
      <c r="D17" s="3">
        <v>6.4000000000000001E-2</v>
      </c>
      <c r="E17" s="3">
        <v>3.7999999999999999E-2</v>
      </c>
      <c r="F17" s="3">
        <v>3.9E-2</v>
      </c>
      <c r="G17" s="3">
        <v>3.7999999999999999E-2</v>
      </c>
      <c r="H17" s="3">
        <v>0.193</v>
      </c>
      <c r="I17" s="3">
        <v>0.19600000000000001</v>
      </c>
      <c r="J17" s="3">
        <v>0.20300000000000001</v>
      </c>
      <c r="K17" s="3">
        <v>0.11899999999999999</v>
      </c>
      <c r="L17" s="3">
        <v>0.11899999999999999</v>
      </c>
      <c r="M17" s="3">
        <v>0.11700000000000001</v>
      </c>
      <c r="N17" s="4">
        <v>562</v>
      </c>
    </row>
    <row r="18" spans="1:14" x14ac:dyDescent="0.25">
      <c r="A18" s="2" t="s">
        <v>6</v>
      </c>
      <c r="B18" s="3">
        <v>0.04</v>
      </c>
      <c r="C18" s="3">
        <v>4.1000000000000002E-2</v>
      </c>
      <c r="D18" s="3">
        <v>0.04</v>
      </c>
      <c r="E18" s="3">
        <v>3.9E-2</v>
      </c>
      <c r="F18" s="3">
        <v>4.2000000000000003E-2</v>
      </c>
      <c r="G18" s="3">
        <v>3.7999999999999999E-2</v>
      </c>
      <c r="H18" s="3">
        <v>4.7E-2</v>
      </c>
      <c r="I18" s="3">
        <v>4.5999999999999999E-2</v>
      </c>
      <c r="J18" s="3">
        <v>4.5999999999999999E-2</v>
      </c>
      <c r="K18" s="3">
        <v>7.2999999999999995E-2</v>
      </c>
      <c r="L18" s="3">
        <v>6.2E-2</v>
      </c>
      <c r="M18" s="3">
        <v>6.2E-2</v>
      </c>
      <c r="N18" s="4">
        <v>562</v>
      </c>
    </row>
    <row r="19" spans="1:14" x14ac:dyDescent="0.25">
      <c r="A19" s="2" t="s">
        <v>7</v>
      </c>
      <c r="B19" s="3">
        <v>0.04</v>
      </c>
      <c r="C19" s="3">
        <v>3.7999999999999999E-2</v>
      </c>
      <c r="D19" s="3">
        <v>3.9E-2</v>
      </c>
      <c r="E19" s="3">
        <v>0.04</v>
      </c>
      <c r="F19" s="3">
        <v>0.04</v>
      </c>
      <c r="G19" s="3">
        <v>0.04</v>
      </c>
      <c r="H19" s="3">
        <v>4.5999999999999999E-2</v>
      </c>
      <c r="I19" s="3">
        <v>4.7E-2</v>
      </c>
      <c r="J19" s="3">
        <v>4.8000000000000001E-2</v>
      </c>
      <c r="K19" s="3">
        <v>0.186</v>
      </c>
      <c r="L19" s="3">
        <v>0.18099999999999999</v>
      </c>
      <c r="M19" s="3">
        <v>0.188</v>
      </c>
      <c r="N19" s="4">
        <v>562</v>
      </c>
    </row>
    <row r="21" spans="1:14" x14ac:dyDescent="0.25">
      <c r="B21">
        <f>AVERAGE(B2:D2)</f>
        <v>0.19600000000000004</v>
      </c>
      <c r="C21">
        <f>AVERAGE(B12:D12)</f>
        <v>0.33766666666666673</v>
      </c>
      <c r="D21">
        <f>C21-B21</f>
        <v>0.14166666666666669</v>
      </c>
      <c r="E21">
        <f>AVERAGE(E2:G2)</f>
        <v>0.51000000000000012</v>
      </c>
      <c r="F21">
        <f>AVERAGE(E12:G12)</f>
        <v>0.56533333333333335</v>
      </c>
      <c r="G21">
        <f>F21-E21</f>
        <v>5.5333333333333234E-2</v>
      </c>
      <c r="H21" s="5">
        <f>AVERAGE(H2:J2)</f>
        <v>5.1333333333333335E-2</v>
      </c>
      <c r="I21" s="6">
        <f>AVERAGE(H12:J12)</f>
        <v>0.18266666666666667</v>
      </c>
      <c r="J21">
        <f>I21-H21</f>
        <v>0.13133333333333333</v>
      </c>
      <c r="K21">
        <f>AVERAGE(K2:M2)</f>
        <v>0.54633333333333334</v>
      </c>
      <c r="L21">
        <f>AVERAGE(K12:M12)</f>
        <v>0.57333333333333336</v>
      </c>
      <c r="M21">
        <f>L21-K21</f>
        <v>2.7000000000000024E-2</v>
      </c>
    </row>
    <row r="22" spans="1:14" x14ac:dyDescent="0.25">
      <c r="B22">
        <f t="shared" ref="B22:B28" si="0">AVERAGE(B3:D3)</f>
        <v>6.3333333333333339E-2</v>
      </c>
      <c r="C22">
        <f t="shared" ref="C22:C28" si="1">AVERAGE(B13:D13)</f>
        <v>8.666666666666667E-2</v>
      </c>
      <c r="D22">
        <f t="shared" ref="D22:D28" si="2">C22-B22</f>
        <v>2.3333333333333331E-2</v>
      </c>
      <c r="E22">
        <f t="shared" ref="E22:E28" si="3">AVERAGE(E3:G3)</f>
        <v>6.8333333333333343E-2</v>
      </c>
      <c r="F22">
        <f t="shared" ref="F22:F28" si="4">AVERAGE(E13:G13)</f>
        <v>7.333333333333332E-2</v>
      </c>
      <c r="G22">
        <f t="shared" ref="G22:G28" si="5">F22-E22</f>
        <v>4.9999999999999767E-3</v>
      </c>
      <c r="H22" s="7">
        <f t="shared" ref="H22:H28" si="6">AVERAGE(H3:J3)</f>
        <v>4.0666666666666663E-2</v>
      </c>
      <c r="I22" s="8">
        <f t="shared" ref="I22:I28" si="7">AVERAGE(H13:J13)</f>
        <v>6.4000000000000001E-2</v>
      </c>
      <c r="J22">
        <f t="shared" ref="J22:J28" si="8">I22-H22</f>
        <v>2.3333333333333338E-2</v>
      </c>
      <c r="K22">
        <f t="shared" ref="K22:K28" si="9">AVERAGE(K3:M3)</f>
        <v>4.4666666666666667E-2</v>
      </c>
      <c r="L22">
        <f t="shared" ref="L22:L28" si="10">AVERAGE(K13:M13)</f>
        <v>5.7999999999999996E-2</v>
      </c>
      <c r="M22">
        <f t="shared" ref="M22:M28" si="11">L22-K22</f>
        <v>1.3333333333333329E-2</v>
      </c>
    </row>
    <row r="23" spans="1:14" x14ac:dyDescent="0.25">
      <c r="B23">
        <f t="shared" si="0"/>
        <v>3.833333333333333E-2</v>
      </c>
      <c r="C23">
        <f t="shared" si="1"/>
        <v>4.0333333333333332E-2</v>
      </c>
      <c r="D23">
        <f t="shared" si="2"/>
        <v>2.0000000000000018E-3</v>
      </c>
      <c r="E23">
        <f t="shared" si="3"/>
        <v>6.3333333333333339E-2</v>
      </c>
      <c r="F23">
        <f t="shared" si="4"/>
        <v>6.9666666666666668E-2</v>
      </c>
      <c r="G23">
        <f t="shared" si="5"/>
        <v>6.3333333333333297E-3</v>
      </c>
      <c r="H23" s="7">
        <f t="shared" si="6"/>
        <v>3.6999999999999998E-2</v>
      </c>
      <c r="I23" s="8">
        <f t="shared" si="7"/>
        <v>6.7000000000000004E-2</v>
      </c>
      <c r="J23">
        <f t="shared" si="8"/>
        <v>3.0000000000000006E-2</v>
      </c>
      <c r="K23">
        <f t="shared" si="9"/>
        <v>4.2000000000000003E-2</v>
      </c>
      <c r="L23">
        <f t="shared" si="10"/>
        <v>4.6333333333333337E-2</v>
      </c>
      <c r="M23">
        <f t="shared" si="11"/>
        <v>4.3333333333333349E-3</v>
      </c>
    </row>
    <row r="24" spans="1:14" x14ac:dyDescent="0.25">
      <c r="B24">
        <f t="shared" si="0"/>
        <v>3.7666666666666661E-2</v>
      </c>
      <c r="C24">
        <f t="shared" si="1"/>
        <v>3.8666666666666662E-2</v>
      </c>
      <c r="D24">
        <f t="shared" si="2"/>
        <v>1.0000000000000009E-3</v>
      </c>
      <c r="E24">
        <f t="shared" si="3"/>
        <v>0.37166666666666665</v>
      </c>
      <c r="F24">
        <f t="shared" si="4"/>
        <v>0.56899999999999995</v>
      </c>
      <c r="G24">
        <f t="shared" si="5"/>
        <v>0.19733333333333331</v>
      </c>
      <c r="H24" s="7">
        <f t="shared" si="6"/>
        <v>3.6999999999999998E-2</v>
      </c>
      <c r="I24" s="8">
        <f t="shared" si="7"/>
        <v>6.6000000000000003E-2</v>
      </c>
      <c r="J24">
        <f t="shared" si="8"/>
        <v>2.9000000000000005E-2</v>
      </c>
      <c r="K24">
        <f t="shared" si="9"/>
        <v>4.4333333333333336E-2</v>
      </c>
      <c r="L24">
        <f t="shared" si="10"/>
        <v>9.6666666666666679E-2</v>
      </c>
      <c r="M24">
        <f t="shared" si="11"/>
        <v>5.2333333333333343E-2</v>
      </c>
    </row>
    <row r="25" spans="1:14" x14ac:dyDescent="0.25">
      <c r="B25">
        <f t="shared" si="0"/>
        <v>3.9666666666666663E-2</v>
      </c>
      <c r="C25">
        <f t="shared" si="1"/>
        <v>0.22166666666666668</v>
      </c>
      <c r="D25">
        <f t="shared" si="2"/>
        <v>0.18200000000000002</v>
      </c>
      <c r="E25">
        <f t="shared" si="3"/>
        <v>0.13</v>
      </c>
      <c r="F25">
        <f t="shared" si="4"/>
        <v>0.13600000000000001</v>
      </c>
      <c r="G25">
        <f t="shared" si="5"/>
        <v>6.0000000000000053E-3</v>
      </c>
      <c r="H25" s="7">
        <f t="shared" si="6"/>
        <v>3.7999999999999999E-2</v>
      </c>
      <c r="I25" s="8">
        <f t="shared" si="7"/>
        <v>0.06</v>
      </c>
      <c r="J25">
        <f t="shared" si="8"/>
        <v>2.1999999999999999E-2</v>
      </c>
      <c r="K25">
        <f t="shared" si="9"/>
        <v>4.6333333333333337E-2</v>
      </c>
      <c r="L25">
        <f t="shared" si="10"/>
        <v>6.8000000000000005E-2</v>
      </c>
      <c r="M25">
        <f t="shared" si="11"/>
        <v>2.1666666666666667E-2</v>
      </c>
    </row>
    <row r="26" spans="1:14" x14ac:dyDescent="0.25">
      <c r="B26">
        <f t="shared" si="0"/>
        <v>3.7999999999999999E-2</v>
      </c>
      <c r="C26">
        <f t="shared" si="1"/>
        <v>7.1000000000000008E-2</v>
      </c>
      <c r="D26">
        <f t="shared" si="2"/>
        <v>3.3000000000000008E-2</v>
      </c>
      <c r="E26" s="5">
        <f t="shared" si="3"/>
        <v>3.7999999999999999E-2</v>
      </c>
      <c r="F26" s="6">
        <f t="shared" si="4"/>
        <v>3.833333333333333E-2</v>
      </c>
      <c r="G26">
        <f t="shared" si="5"/>
        <v>3.3333333333333132E-4</v>
      </c>
      <c r="H26" s="7">
        <f t="shared" si="6"/>
        <v>0.12666666666666668</v>
      </c>
      <c r="I26" s="8">
        <f t="shared" si="7"/>
        <v>0.19733333333333336</v>
      </c>
      <c r="J26">
        <f t="shared" si="8"/>
        <v>7.0666666666666683E-2</v>
      </c>
      <c r="K26">
        <f t="shared" si="9"/>
        <v>5.1999999999999998E-2</v>
      </c>
      <c r="L26">
        <f t="shared" si="10"/>
        <v>0.11833333333333333</v>
      </c>
      <c r="M26">
        <f t="shared" si="11"/>
        <v>6.6333333333333327E-2</v>
      </c>
    </row>
    <row r="27" spans="1:14" x14ac:dyDescent="0.25">
      <c r="B27">
        <f t="shared" si="0"/>
        <v>3.7666666666666661E-2</v>
      </c>
      <c r="C27">
        <f t="shared" si="1"/>
        <v>4.0333333333333332E-2</v>
      </c>
      <c r="D27">
        <f t="shared" si="2"/>
        <v>2.6666666666666713E-3</v>
      </c>
      <c r="E27" s="7">
        <f t="shared" si="3"/>
        <v>3.7999999999999999E-2</v>
      </c>
      <c r="F27" s="8">
        <f t="shared" si="4"/>
        <v>3.9666666666666663E-2</v>
      </c>
      <c r="G27">
        <f t="shared" si="5"/>
        <v>1.6666666666666635E-3</v>
      </c>
      <c r="H27" s="7">
        <f t="shared" si="6"/>
        <v>3.7999999999999999E-2</v>
      </c>
      <c r="I27" s="8">
        <f t="shared" si="7"/>
        <v>4.6333333333333337E-2</v>
      </c>
      <c r="J27">
        <f t="shared" si="8"/>
        <v>8.3333333333333384E-3</v>
      </c>
      <c r="K27">
        <f t="shared" si="9"/>
        <v>5.5999999999999994E-2</v>
      </c>
      <c r="L27">
        <f t="shared" si="10"/>
        <v>6.5666666666666665E-2</v>
      </c>
      <c r="M27">
        <f t="shared" si="11"/>
        <v>9.6666666666666706E-3</v>
      </c>
    </row>
    <row r="28" spans="1:14" x14ac:dyDescent="0.25">
      <c r="B28">
        <f t="shared" si="0"/>
        <v>3.7999999999999999E-2</v>
      </c>
      <c r="C28">
        <f t="shared" si="1"/>
        <v>3.9E-2</v>
      </c>
      <c r="D28">
        <f t="shared" si="2"/>
        <v>1.0000000000000009E-3</v>
      </c>
      <c r="E28" s="9">
        <f t="shared" si="3"/>
        <v>3.8666666666666662E-2</v>
      </c>
      <c r="F28" s="10">
        <f t="shared" si="4"/>
        <v>0.04</v>
      </c>
      <c r="G28">
        <f t="shared" si="5"/>
        <v>1.3333333333333391E-3</v>
      </c>
      <c r="H28" s="9">
        <f t="shared" si="6"/>
        <v>3.7666666666666661E-2</v>
      </c>
      <c r="I28" s="10">
        <f t="shared" si="7"/>
        <v>4.7000000000000007E-2</v>
      </c>
      <c r="J28">
        <f t="shared" si="8"/>
        <v>9.3333333333333462E-3</v>
      </c>
      <c r="K28">
        <f t="shared" si="9"/>
        <v>5.0999999999999997E-2</v>
      </c>
      <c r="L28">
        <f t="shared" si="10"/>
        <v>0.18499999999999997</v>
      </c>
      <c r="M28">
        <f t="shared" si="11"/>
        <v>0.13399999999999998</v>
      </c>
    </row>
  </sheetData>
  <conditionalFormatting sqref="B21:M28">
    <cfRule type="cellIs" dxfId="6" priority="4" operator="greaterThan">
      <formula>1</formula>
    </cfRule>
  </conditionalFormatting>
  <conditionalFormatting sqref="B21:C28 E21:F28 H21:I28 K21:L28">
    <cfRule type="cellIs" dxfId="5" priority="3" operator="lessThan">
      <formula>0.05</formula>
    </cfRule>
  </conditionalFormatting>
  <conditionalFormatting sqref="D21:D28 G21:G28 J21:J28 M21:M28">
    <cfRule type="cellIs" dxfId="4" priority="2" operator="lessThan">
      <formula>0.222</formula>
    </cfRule>
  </conditionalFormatting>
  <conditionalFormatting sqref="C21:C28 F21:F28 I21:I28 L21:L28">
    <cfRule type="cellIs" dxfId="0" priority="1" operator="greaterThan">
      <formula>0.48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Giessner, Melanie</cp:lastModifiedBy>
  <dcterms:created xsi:type="dcterms:W3CDTF">2024-12-13T19:45:04Z</dcterms:created>
  <dcterms:modified xsi:type="dcterms:W3CDTF">2025-02-13T14:44:04Z</dcterms:modified>
</cp:coreProperties>
</file>