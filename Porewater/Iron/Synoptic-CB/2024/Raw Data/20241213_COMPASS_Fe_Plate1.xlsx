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GlobalChangeEco\Porewater_R scripts &amp; Data\Data\Fe\COMPASS\Synoptic\Raw Data\"/>
    </mc:Choice>
  </mc:AlternateContent>
  <xr:revisionPtr revIDLastSave="0" documentId="13_ncr:1_{E2803133-3283-4511-9E2B-0DA6075E11F2}" xr6:coauthVersionLast="47" xr6:coauthVersionMax="47" xr10:uidLastSave="{00000000-0000-0000-0000-000000000000}"/>
  <bookViews>
    <workbookView xWindow="930" yWindow="3585" windowWidth="16815" windowHeight="9885" xr2:uid="{12B539C9-4EAD-4B4D-BBD5-5812CDB43D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8" i="1" l="1"/>
  <c r="M27" i="1"/>
  <c r="M26" i="1"/>
  <c r="M25" i="1"/>
  <c r="M24" i="1"/>
  <c r="M23" i="1"/>
  <c r="M22" i="1"/>
  <c r="M21" i="1"/>
  <c r="J28" i="1"/>
  <c r="J27" i="1"/>
  <c r="J26" i="1"/>
  <c r="J25" i="1"/>
  <c r="J24" i="1"/>
  <c r="J23" i="1"/>
  <c r="J22" i="1"/>
  <c r="J21" i="1"/>
  <c r="G21" i="1"/>
  <c r="G28" i="1"/>
  <c r="G27" i="1"/>
  <c r="G26" i="1"/>
  <c r="G25" i="1"/>
  <c r="G24" i="1"/>
  <c r="G23" i="1"/>
  <c r="G22" i="1"/>
  <c r="D22" i="1"/>
  <c r="D23" i="1"/>
  <c r="D24" i="1"/>
  <c r="D25" i="1"/>
  <c r="D26" i="1"/>
  <c r="D27" i="1"/>
  <c r="D28" i="1"/>
  <c r="D21" i="1"/>
  <c r="L28" i="1"/>
  <c r="K28" i="1"/>
  <c r="L27" i="1"/>
  <c r="K27" i="1"/>
  <c r="L26" i="1"/>
  <c r="K26" i="1"/>
  <c r="L25" i="1"/>
  <c r="K25" i="1"/>
  <c r="L24" i="1"/>
  <c r="K24" i="1"/>
  <c r="L23" i="1"/>
  <c r="K23" i="1"/>
  <c r="L22" i="1"/>
  <c r="K22" i="1"/>
  <c r="L21" i="1"/>
  <c r="K21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F28" i="1"/>
  <c r="E28" i="1"/>
  <c r="F27" i="1"/>
  <c r="E27" i="1"/>
  <c r="F26" i="1"/>
  <c r="E26" i="1"/>
  <c r="F25" i="1"/>
  <c r="E25" i="1"/>
  <c r="F24" i="1"/>
  <c r="E24" i="1"/>
  <c r="F23" i="1"/>
  <c r="E23" i="1"/>
  <c r="F22" i="1"/>
  <c r="E22" i="1"/>
  <c r="F21" i="1"/>
  <c r="E21" i="1"/>
  <c r="B22" i="1"/>
  <c r="C22" i="1"/>
  <c r="B23" i="1"/>
  <c r="C23" i="1"/>
  <c r="B24" i="1"/>
  <c r="C24" i="1"/>
  <c r="B25" i="1"/>
  <c r="C25" i="1"/>
  <c r="B26" i="1"/>
  <c r="C26" i="1"/>
  <c r="B27" i="1"/>
  <c r="C27" i="1"/>
  <c r="B28" i="1"/>
  <c r="C28" i="1"/>
  <c r="C21" i="1"/>
  <c r="B21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<sst xmlns="http://schemas.openxmlformats.org/spreadsheetml/2006/main" count="16" uniqueCount="8">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</sst>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Border="1"/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D6E84-8784-4687-BE27-D81FC65030FF}">
  <dimension ref="A1:N28"/>
  <sheetViews>
    <sheetView tabSelected="1" topLeftCell="A19" workbookViewId="0">
      <selection activeCell="L21" activeCellId="3" sqref="C21:C28 F21:F28 I21:I28 L21:L28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0.20499999999999999</v>
      </c>
      <c r="C2" s="3">
        <v>0.22600000000000001</v>
      </c>
      <c r="D2" s="3">
        <v>0.187</v>
      </c>
      <c r="E2" s="3">
        <v>4.4999999999999998E-2</v>
      </c>
      <c r="F2" s="3">
        <v>4.7E-2</v>
      </c>
      <c r="G2" s="3">
        <v>4.5999999999999999E-2</v>
      </c>
      <c r="H2" s="3">
        <v>0.05</v>
      </c>
      <c r="I2" s="3">
        <v>4.3999999999999997E-2</v>
      </c>
      <c r="J2" s="3">
        <v>4.3999999999999997E-2</v>
      </c>
      <c r="K2" s="3">
        <v>4.1000000000000002E-2</v>
      </c>
      <c r="L2" s="3">
        <v>4.1000000000000002E-2</v>
      </c>
      <c r="M2" s="3">
        <v>4.1000000000000002E-2</v>
      </c>
      <c r="N2" s="4">
        <v>562</v>
      </c>
    </row>
    <row r="3" spans="1:14" x14ac:dyDescent="0.25">
      <c r="A3" s="2" t="s">
        <v>1</v>
      </c>
      <c r="B3" s="3">
        <v>5.8000000000000003E-2</v>
      </c>
      <c r="C3" s="3">
        <v>6.0999999999999999E-2</v>
      </c>
      <c r="D3" s="3">
        <v>6.2E-2</v>
      </c>
      <c r="E3" s="3">
        <v>8.8999999999999996E-2</v>
      </c>
      <c r="F3" s="3">
        <v>9.1999999999999998E-2</v>
      </c>
      <c r="G3" s="3">
        <v>9.6000000000000002E-2</v>
      </c>
      <c r="H3" s="3">
        <v>4.5999999999999999E-2</v>
      </c>
      <c r="I3" s="3">
        <v>4.3999999999999997E-2</v>
      </c>
      <c r="J3" s="3">
        <v>4.7E-2</v>
      </c>
      <c r="K3" s="3">
        <v>3.7999999999999999E-2</v>
      </c>
      <c r="L3" s="3">
        <v>3.6999999999999998E-2</v>
      </c>
      <c r="M3" s="3">
        <v>3.6999999999999998E-2</v>
      </c>
      <c r="N3" s="4">
        <v>562</v>
      </c>
    </row>
    <row r="4" spans="1:14" x14ac:dyDescent="0.25">
      <c r="A4" s="2" t="s">
        <v>2</v>
      </c>
      <c r="B4" s="3">
        <v>3.7999999999999999E-2</v>
      </c>
      <c r="C4" s="3">
        <v>3.9E-2</v>
      </c>
      <c r="D4" s="3">
        <v>3.7999999999999999E-2</v>
      </c>
      <c r="E4" s="3">
        <v>4.3999999999999997E-2</v>
      </c>
      <c r="F4" s="3">
        <v>4.2999999999999997E-2</v>
      </c>
      <c r="G4" s="3">
        <v>4.2000000000000003E-2</v>
      </c>
      <c r="H4" s="3">
        <v>4.7E-2</v>
      </c>
      <c r="I4" s="3">
        <v>4.8000000000000001E-2</v>
      </c>
      <c r="J4" s="3">
        <v>5.2999999999999999E-2</v>
      </c>
      <c r="K4" s="3">
        <v>3.7999999999999999E-2</v>
      </c>
      <c r="L4" s="3">
        <v>3.7999999999999999E-2</v>
      </c>
      <c r="M4" s="3">
        <v>3.7999999999999999E-2</v>
      </c>
      <c r="N4" s="4">
        <v>562</v>
      </c>
    </row>
    <row r="5" spans="1:14" x14ac:dyDescent="0.25">
      <c r="A5" s="2" t="s">
        <v>3</v>
      </c>
      <c r="B5" s="3">
        <v>3.7999999999999999E-2</v>
      </c>
      <c r="C5" s="3">
        <v>3.6999999999999998E-2</v>
      </c>
      <c r="D5" s="3">
        <v>3.6999999999999998E-2</v>
      </c>
      <c r="E5" s="3">
        <v>0.04</v>
      </c>
      <c r="F5" s="3">
        <v>3.9E-2</v>
      </c>
      <c r="G5" s="3">
        <v>3.9E-2</v>
      </c>
      <c r="H5" s="3">
        <v>4.9000000000000002E-2</v>
      </c>
      <c r="I5" s="3">
        <v>4.8000000000000001E-2</v>
      </c>
      <c r="J5" s="3">
        <v>5.3999999999999999E-2</v>
      </c>
      <c r="K5" s="3">
        <v>3.7999999999999999E-2</v>
      </c>
      <c r="L5" s="3">
        <v>3.7999999999999999E-2</v>
      </c>
      <c r="M5" s="3">
        <v>3.7999999999999999E-2</v>
      </c>
      <c r="N5" s="4">
        <v>562</v>
      </c>
    </row>
    <row r="6" spans="1:14" x14ac:dyDescent="0.25">
      <c r="A6" s="2" t="s">
        <v>4</v>
      </c>
      <c r="B6" s="3">
        <v>3.9E-2</v>
      </c>
      <c r="C6" s="3">
        <v>0.04</v>
      </c>
      <c r="D6" s="3">
        <v>3.9E-2</v>
      </c>
      <c r="E6" s="3">
        <v>5.0999999999999997E-2</v>
      </c>
      <c r="F6" s="3">
        <v>0.05</v>
      </c>
      <c r="G6" s="3">
        <v>4.8000000000000001E-2</v>
      </c>
      <c r="H6" s="3">
        <v>8.1000000000000003E-2</v>
      </c>
      <c r="I6" s="3">
        <v>8.1000000000000003E-2</v>
      </c>
      <c r="J6" s="3">
        <v>8.5000000000000006E-2</v>
      </c>
      <c r="K6" s="3">
        <v>4.1000000000000002E-2</v>
      </c>
      <c r="L6" s="3">
        <v>4.1000000000000002E-2</v>
      </c>
      <c r="M6" s="3">
        <v>4.1000000000000002E-2</v>
      </c>
      <c r="N6" s="4">
        <v>562</v>
      </c>
    </row>
    <row r="7" spans="1:14" x14ac:dyDescent="0.25">
      <c r="A7" s="2" t="s">
        <v>5</v>
      </c>
      <c r="B7" s="3">
        <v>3.7999999999999999E-2</v>
      </c>
      <c r="C7" s="3">
        <v>3.7999999999999999E-2</v>
      </c>
      <c r="D7" s="3">
        <v>3.7999999999999999E-2</v>
      </c>
      <c r="E7" s="3">
        <v>4.4999999999999998E-2</v>
      </c>
      <c r="F7" s="3">
        <v>4.4999999999999998E-2</v>
      </c>
      <c r="G7" s="3">
        <v>4.4999999999999998E-2</v>
      </c>
      <c r="H7" s="3">
        <v>0.20699999999999999</v>
      </c>
      <c r="I7" s="3">
        <v>0.21</v>
      </c>
      <c r="J7" s="3">
        <v>0.20699999999999999</v>
      </c>
      <c r="K7" s="3">
        <v>5.6000000000000001E-2</v>
      </c>
      <c r="L7" s="3">
        <v>5.5E-2</v>
      </c>
      <c r="M7" s="3">
        <v>5.6000000000000001E-2</v>
      </c>
      <c r="N7" s="4">
        <v>562</v>
      </c>
    </row>
    <row r="8" spans="1:14" x14ac:dyDescent="0.25">
      <c r="A8" s="2" t="s">
        <v>6</v>
      </c>
      <c r="B8" s="3">
        <v>3.6999999999999998E-2</v>
      </c>
      <c r="C8" s="3">
        <v>3.6999999999999998E-2</v>
      </c>
      <c r="D8" s="3">
        <v>3.6999999999999998E-2</v>
      </c>
      <c r="E8" s="3">
        <v>3.9E-2</v>
      </c>
      <c r="F8" s="3">
        <v>3.9E-2</v>
      </c>
      <c r="G8" s="3">
        <v>3.9E-2</v>
      </c>
      <c r="H8" s="3">
        <v>3.9E-2</v>
      </c>
      <c r="I8" s="3">
        <v>3.9E-2</v>
      </c>
      <c r="J8" s="3">
        <v>3.9E-2</v>
      </c>
      <c r="K8" s="3">
        <v>0.311</v>
      </c>
      <c r="L8" s="3">
        <v>0.307</v>
      </c>
      <c r="M8" s="3">
        <v>0.4</v>
      </c>
      <c r="N8" s="4">
        <v>562</v>
      </c>
    </row>
    <row r="9" spans="1:14" x14ac:dyDescent="0.25">
      <c r="A9" s="2" t="s">
        <v>7</v>
      </c>
      <c r="B9" s="3">
        <v>3.6999999999999998E-2</v>
      </c>
      <c r="C9" s="3">
        <v>3.7999999999999999E-2</v>
      </c>
      <c r="D9" s="3">
        <v>3.6999999999999998E-2</v>
      </c>
      <c r="E9" s="3">
        <v>5.3999999999999999E-2</v>
      </c>
      <c r="F9" s="3">
        <v>5.1999999999999998E-2</v>
      </c>
      <c r="G9" s="3">
        <v>5.1999999999999998E-2</v>
      </c>
      <c r="H9" s="3">
        <v>3.7999999999999999E-2</v>
      </c>
      <c r="I9" s="3">
        <v>3.7999999999999999E-2</v>
      </c>
      <c r="J9" s="3">
        <v>3.9E-2</v>
      </c>
      <c r="K9" s="3">
        <v>5.3999999999999999E-2</v>
      </c>
      <c r="L9" s="3">
        <v>5.1999999999999998E-2</v>
      </c>
      <c r="M9" s="3">
        <v>5.1999999999999998E-2</v>
      </c>
      <c r="N9" s="4">
        <v>562</v>
      </c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3">
        <v>0.32800000000000001</v>
      </c>
      <c r="C12" s="3">
        <v>0.33400000000000002</v>
      </c>
      <c r="D12" s="3">
        <v>0.32300000000000001</v>
      </c>
      <c r="E12" s="3">
        <v>6.0999999999999999E-2</v>
      </c>
      <c r="F12" s="3">
        <v>6.4000000000000001E-2</v>
      </c>
      <c r="G12" s="3">
        <v>6.4000000000000001E-2</v>
      </c>
      <c r="H12" s="3">
        <v>5.1999999999999998E-2</v>
      </c>
      <c r="I12" s="3">
        <v>4.4999999999999998E-2</v>
      </c>
      <c r="J12" s="3">
        <v>4.4999999999999998E-2</v>
      </c>
      <c r="K12" s="3">
        <v>4.2999999999999997E-2</v>
      </c>
      <c r="L12" s="3">
        <v>4.4999999999999998E-2</v>
      </c>
      <c r="M12" s="3">
        <v>4.4999999999999998E-2</v>
      </c>
      <c r="N12" s="4">
        <v>562</v>
      </c>
    </row>
    <row r="13" spans="1:14" x14ac:dyDescent="0.25">
      <c r="A13" s="2" t="s">
        <v>1</v>
      </c>
      <c r="B13" s="3">
        <v>7.9000000000000001E-2</v>
      </c>
      <c r="C13" s="3">
        <v>7.9000000000000001E-2</v>
      </c>
      <c r="D13" s="3">
        <v>8.3000000000000004E-2</v>
      </c>
      <c r="E13" s="3">
        <v>0.311</v>
      </c>
      <c r="F13" s="3">
        <v>0.36099999999999999</v>
      </c>
      <c r="G13" s="3">
        <v>0.35499999999999998</v>
      </c>
      <c r="H13" s="3">
        <v>4.8000000000000001E-2</v>
      </c>
      <c r="I13" s="3">
        <v>4.8000000000000001E-2</v>
      </c>
      <c r="J13" s="3">
        <v>0.05</v>
      </c>
      <c r="K13" s="3">
        <v>4.1000000000000002E-2</v>
      </c>
      <c r="L13" s="3">
        <v>4.1000000000000002E-2</v>
      </c>
      <c r="M13" s="3">
        <v>0.04</v>
      </c>
      <c r="N13" s="4">
        <v>562</v>
      </c>
    </row>
    <row r="14" spans="1:14" x14ac:dyDescent="0.25">
      <c r="A14" s="2" t="s">
        <v>2</v>
      </c>
      <c r="B14" s="3">
        <v>0.04</v>
      </c>
      <c r="C14" s="3">
        <v>4.1000000000000002E-2</v>
      </c>
      <c r="D14" s="3">
        <v>0.04</v>
      </c>
      <c r="E14" s="3">
        <v>0.152</v>
      </c>
      <c r="F14" s="3">
        <v>0.14799999999999999</v>
      </c>
      <c r="G14" s="3">
        <v>0.20899999999999999</v>
      </c>
      <c r="H14" s="3">
        <v>0.05</v>
      </c>
      <c r="I14" s="3">
        <v>4.9000000000000002E-2</v>
      </c>
      <c r="J14" s="3">
        <v>5.3999999999999999E-2</v>
      </c>
      <c r="K14" s="3">
        <v>4.2000000000000003E-2</v>
      </c>
      <c r="L14" s="3">
        <v>4.1000000000000002E-2</v>
      </c>
      <c r="M14" s="3">
        <v>4.2000000000000003E-2</v>
      </c>
      <c r="N14" s="4">
        <v>562</v>
      </c>
    </row>
    <row r="15" spans="1:14" x14ac:dyDescent="0.25">
      <c r="A15" s="2" t="s">
        <v>3</v>
      </c>
      <c r="B15" s="3">
        <v>3.9E-2</v>
      </c>
      <c r="C15" s="3">
        <v>3.7999999999999999E-2</v>
      </c>
      <c r="D15" s="3">
        <v>3.7999999999999999E-2</v>
      </c>
      <c r="E15" s="3">
        <v>0.182</v>
      </c>
      <c r="F15" s="3">
        <v>0.188</v>
      </c>
      <c r="G15" s="3">
        <v>0.187</v>
      </c>
      <c r="H15" s="3">
        <v>5.2999999999999999E-2</v>
      </c>
      <c r="I15" s="3">
        <v>5.0999999999999997E-2</v>
      </c>
      <c r="J15" s="3">
        <v>5.6000000000000001E-2</v>
      </c>
      <c r="K15" s="3">
        <v>4.2000000000000003E-2</v>
      </c>
      <c r="L15" s="3">
        <v>4.1000000000000002E-2</v>
      </c>
      <c r="M15" s="3">
        <v>4.2000000000000003E-2</v>
      </c>
      <c r="N15" s="4">
        <v>562</v>
      </c>
    </row>
    <row r="16" spans="1:14" x14ac:dyDescent="0.25">
      <c r="A16" s="2" t="s">
        <v>4</v>
      </c>
      <c r="B16" s="3">
        <v>0.17699999999999999</v>
      </c>
      <c r="C16" s="3">
        <v>0.17599999999999999</v>
      </c>
      <c r="D16" s="3">
        <v>0.188</v>
      </c>
      <c r="E16" s="3">
        <v>0.248</v>
      </c>
      <c r="F16" s="3">
        <v>0.19600000000000001</v>
      </c>
      <c r="G16" s="3">
        <v>0.20699999999999999</v>
      </c>
      <c r="H16" s="3">
        <v>8.3000000000000004E-2</v>
      </c>
      <c r="I16" s="3">
        <v>8.5999999999999993E-2</v>
      </c>
      <c r="J16" s="3">
        <v>8.5999999999999993E-2</v>
      </c>
      <c r="K16" s="3">
        <v>7.0000000000000007E-2</v>
      </c>
      <c r="L16" s="3">
        <v>7.1999999999999995E-2</v>
      </c>
      <c r="M16" s="3">
        <v>7.4999999999999997E-2</v>
      </c>
      <c r="N16" s="4">
        <v>562</v>
      </c>
    </row>
    <row r="17" spans="1:14" x14ac:dyDescent="0.25">
      <c r="A17" s="2" t="s">
        <v>5</v>
      </c>
      <c r="B17" s="3">
        <v>8.2000000000000003E-2</v>
      </c>
      <c r="C17" s="3">
        <v>8.5999999999999993E-2</v>
      </c>
      <c r="D17" s="3">
        <v>8.4000000000000005E-2</v>
      </c>
      <c r="E17" s="3">
        <v>0.20799999999999999</v>
      </c>
      <c r="F17" s="3">
        <v>0.23400000000000001</v>
      </c>
      <c r="G17" s="3">
        <v>0.22600000000000001</v>
      </c>
      <c r="H17" s="3">
        <v>0.28499999999999998</v>
      </c>
      <c r="I17" s="3">
        <v>0.315</v>
      </c>
      <c r="J17" s="3">
        <v>0.28399999999999997</v>
      </c>
      <c r="K17" s="3">
        <v>0.159</v>
      </c>
      <c r="L17" s="3">
        <v>0.17199999999999999</v>
      </c>
      <c r="M17" s="3">
        <v>0.17699999999999999</v>
      </c>
      <c r="N17" s="4">
        <v>562</v>
      </c>
    </row>
    <row r="18" spans="1:14" x14ac:dyDescent="0.25">
      <c r="A18" s="2" t="s">
        <v>6</v>
      </c>
      <c r="B18" s="3">
        <v>3.9E-2</v>
      </c>
      <c r="C18" s="3">
        <v>3.9E-2</v>
      </c>
      <c r="D18" s="3">
        <v>0.04</v>
      </c>
      <c r="E18" s="3">
        <v>4.2999999999999997E-2</v>
      </c>
      <c r="F18" s="3">
        <v>4.2999999999999997E-2</v>
      </c>
      <c r="G18" s="3">
        <v>4.2999999999999997E-2</v>
      </c>
      <c r="H18" s="3">
        <v>4.2999999999999997E-2</v>
      </c>
      <c r="I18" s="3">
        <v>4.2999999999999997E-2</v>
      </c>
      <c r="J18" s="3">
        <v>4.2999999999999997E-2</v>
      </c>
      <c r="K18" s="3">
        <v>0.94799999999999995</v>
      </c>
      <c r="L18" s="3">
        <v>0.91</v>
      </c>
      <c r="M18" s="3">
        <v>0.89600000000000002</v>
      </c>
      <c r="N18" s="4">
        <v>562</v>
      </c>
    </row>
    <row r="19" spans="1:14" x14ac:dyDescent="0.25">
      <c r="A19" s="2" t="s">
        <v>7</v>
      </c>
      <c r="B19" s="3">
        <v>3.7999999999999999E-2</v>
      </c>
      <c r="C19" s="3">
        <v>3.7999999999999999E-2</v>
      </c>
      <c r="D19" s="3">
        <v>3.7999999999999999E-2</v>
      </c>
      <c r="E19" s="3">
        <v>5.5E-2</v>
      </c>
      <c r="F19" s="3">
        <v>5.2999999999999999E-2</v>
      </c>
      <c r="G19" s="3">
        <v>5.3999999999999999E-2</v>
      </c>
      <c r="H19" s="3">
        <v>4.2000000000000003E-2</v>
      </c>
      <c r="I19" s="3">
        <v>4.2000000000000003E-2</v>
      </c>
      <c r="J19" s="3">
        <v>4.2999999999999997E-2</v>
      </c>
      <c r="K19" s="3">
        <v>0.22800000000000001</v>
      </c>
      <c r="L19" s="3">
        <v>0.20699999999999999</v>
      </c>
      <c r="M19" s="3">
        <v>0.219</v>
      </c>
      <c r="N19" s="4">
        <v>562</v>
      </c>
    </row>
    <row r="21" spans="1:14" x14ac:dyDescent="0.25">
      <c r="B21">
        <f>AVERAGE(B2:D2)</f>
        <v>0.20599999999999999</v>
      </c>
      <c r="C21">
        <f>AVERAGE(B12:D12)</f>
        <v>0.32833333333333337</v>
      </c>
      <c r="D21">
        <f>C21-B21</f>
        <v>0.12233333333333338</v>
      </c>
      <c r="E21">
        <f>AVERAGE(E2:G2)</f>
        <v>4.6000000000000006E-2</v>
      </c>
      <c r="F21">
        <f>AVERAGE(E12:G12)</f>
        <v>6.3E-2</v>
      </c>
      <c r="G21">
        <f>F21-E21</f>
        <v>1.6999999999999994E-2</v>
      </c>
      <c r="H21">
        <f>AVERAGE(H2:J2)</f>
        <v>4.6000000000000006E-2</v>
      </c>
      <c r="I21">
        <f>AVERAGE(H12:J12)</f>
        <v>4.7333333333333338E-2</v>
      </c>
      <c r="J21">
        <f>I21-H21</f>
        <v>1.3333333333333322E-3</v>
      </c>
      <c r="K21">
        <f>AVERAGE(K2:M2)</f>
        <v>4.1000000000000002E-2</v>
      </c>
      <c r="L21">
        <f>AVERAGE(K12:M12)</f>
        <v>4.4333333333333336E-2</v>
      </c>
      <c r="M21">
        <f>L21-K21</f>
        <v>3.333333333333334E-3</v>
      </c>
    </row>
    <row r="22" spans="1:14" x14ac:dyDescent="0.25">
      <c r="B22">
        <f t="shared" ref="B22:B28" si="0">AVERAGE(B3:D3)</f>
        <v>6.0333333333333329E-2</v>
      </c>
      <c r="C22">
        <f t="shared" ref="C22:C28" si="1">AVERAGE(B13:D13)</f>
        <v>8.0333333333333326E-2</v>
      </c>
      <c r="D22" s="11">
        <f t="shared" ref="D22:D28" si="2">C22-B22</f>
        <v>1.9999999999999997E-2</v>
      </c>
      <c r="E22" s="5">
        <f t="shared" ref="E22:E28" si="3">AVERAGE(E3:G3)</f>
        <v>9.2333333333333337E-2</v>
      </c>
      <c r="F22" s="6">
        <f t="shared" ref="F22:F28" si="4">AVERAGE(E13:G13)</f>
        <v>0.34233333333333332</v>
      </c>
      <c r="G22">
        <f t="shared" ref="G22:G28" si="5">F22-E22</f>
        <v>0.25</v>
      </c>
      <c r="H22">
        <f t="shared" ref="H22:H28" si="6">AVERAGE(H3:J3)</f>
        <v>4.5666666666666668E-2</v>
      </c>
      <c r="I22">
        <f t="shared" ref="I22:I28" si="7">AVERAGE(H13:J13)</f>
        <v>4.8666666666666671E-2</v>
      </c>
      <c r="J22">
        <f t="shared" ref="J22:J28" si="8">I22-H22</f>
        <v>3.0000000000000027E-3</v>
      </c>
      <c r="K22">
        <f t="shared" ref="K22:K28" si="9">AVERAGE(K3:M3)</f>
        <v>3.7333333333333329E-2</v>
      </c>
      <c r="L22">
        <f t="shared" ref="L22:L28" si="10">AVERAGE(K13:M13)</f>
        <v>4.0666666666666663E-2</v>
      </c>
      <c r="M22">
        <f t="shared" ref="M22:M28" si="11">L22-K22</f>
        <v>3.333333333333334E-3</v>
      </c>
    </row>
    <row r="23" spans="1:14" x14ac:dyDescent="0.25">
      <c r="B23">
        <f t="shared" si="0"/>
        <v>3.833333333333333E-2</v>
      </c>
      <c r="C23">
        <f t="shared" si="1"/>
        <v>4.0333333333333332E-2</v>
      </c>
      <c r="D23" s="11">
        <f t="shared" si="2"/>
        <v>2.0000000000000018E-3</v>
      </c>
      <c r="E23" s="7">
        <f t="shared" si="3"/>
        <v>4.3000000000000003E-2</v>
      </c>
      <c r="F23" s="8">
        <f t="shared" si="4"/>
        <v>0.16966666666666666</v>
      </c>
      <c r="G23">
        <f t="shared" si="5"/>
        <v>0.12666666666666665</v>
      </c>
      <c r="H23">
        <f t="shared" si="6"/>
        <v>4.9333333333333333E-2</v>
      </c>
      <c r="I23">
        <f t="shared" si="7"/>
        <v>5.0999999999999997E-2</v>
      </c>
      <c r="J23">
        <f t="shared" si="8"/>
        <v>1.6666666666666635E-3</v>
      </c>
      <c r="K23">
        <f t="shared" si="9"/>
        <v>3.7999999999999999E-2</v>
      </c>
      <c r="L23">
        <f t="shared" si="10"/>
        <v>4.1666666666666664E-2</v>
      </c>
      <c r="M23">
        <f t="shared" si="11"/>
        <v>3.6666666666666653E-3</v>
      </c>
    </row>
    <row r="24" spans="1:14" x14ac:dyDescent="0.25">
      <c r="B24">
        <f t="shared" si="0"/>
        <v>3.7333333333333329E-2</v>
      </c>
      <c r="C24">
        <f t="shared" si="1"/>
        <v>3.833333333333333E-2</v>
      </c>
      <c r="D24" s="11">
        <f t="shared" si="2"/>
        <v>1.0000000000000009E-3</v>
      </c>
      <c r="E24" s="7">
        <f t="shared" si="3"/>
        <v>3.9333333333333331E-2</v>
      </c>
      <c r="F24" s="8">
        <f t="shared" si="4"/>
        <v>0.18566666666666665</v>
      </c>
      <c r="G24">
        <f t="shared" si="5"/>
        <v>0.14633333333333332</v>
      </c>
      <c r="H24">
        <f t="shared" si="6"/>
        <v>5.0333333333333334E-2</v>
      </c>
      <c r="I24">
        <f t="shared" si="7"/>
        <v>5.3333333333333337E-2</v>
      </c>
      <c r="J24">
        <f t="shared" si="8"/>
        <v>3.0000000000000027E-3</v>
      </c>
      <c r="K24">
        <f t="shared" si="9"/>
        <v>3.7999999999999999E-2</v>
      </c>
      <c r="L24">
        <f t="shared" si="10"/>
        <v>4.1666666666666664E-2</v>
      </c>
      <c r="M24">
        <f t="shared" si="11"/>
        <v>3.6666666666666653E-3</v>
      </c>
    </row>
    <row r="25" spans="1:14" x14ac:dyDescent="0.25">
      <c r="B25">
        <f t="shared" si="0"/>
        <v>3.9333333333333331E-2</v>
      </c>
      <c r="C25">
        <f t="shared" si="1"/>
        <v>0.18033333333333332</v>
      </c>
      <c r="D25" s="11">
        <f t="shared" si="2"/>
        <v>0.14099999999999999</v>
      </c>
      <c r="E25" s="7">
        <f t="shared" si="3"/>
        <v>4.9666666666666671E-2</v>
      </c>
      <c r="F25" s="8">
        <f t="shared" si="4"/>
        <v>0.217</v>
      </c>
      <c r="G25">
        <f t="shared" si="5"/>
        <v>0.16733333333333333</v>
      </c>
      <c r="H25">
        <f t="shared" si="6"/>
        <v>8.2333333333333328E-2</v>
      </c>
      <c r="I25">
        <f t="shared" si="7"/>
        <v>8.5000000000000006E-2</v>
      </c>
      <c r="J25">
        <f t="shared" si="8"/>
        <v>2.6666666666666783E-3</v>
      </c>
      <c r="K25">
        <f t="shared" si="9"/>
        <v>4.1000000000000002E-2</v>
      </c>
      <c r="L25">
        <f t="shared" si="10"/>
        <v>7.2333333333333347E-2</v>
      </c>
      <c r="M25">
        <f t="shared" si="11"/>
        <v>3.1333333333333345E-2</v>
      </c>
    </row>
    <row r="26" spans="1:14" x14ac:dyDescent="0.25">
      <c r="B26">
        <f t="shared" si="0"/>
        <v>3.7999999999999999E-2</v>
      </c>
      <c r="C26">
        <f t="shared" si="1"/>
        <v>8.4000000000000005E-2</v>
      </c>
      <c r="D26" s="11">
        <f t="shared" si="2"/>
        <v>4.6000000000000006E-2</v>
      </c>
      <c r="E26" s="9">
        <f t="shared" si="3"/>
        <v>4.5000000000000005E-2</v>
      </c>
      <c r="F26" s="10">
        <f t="shared" si="4"/>
        <v>0.22266666666666668</v>
      </c>
      <c r="G26">
        <f t="shared" si="5"/>
        <v>0.17766666666666667</v>
      </c>
      <c r="H26">
        <f t="shared" si="6"/>
        <v>0.20799999999999999</v>
      </c>
      <c r="I26">
        <f t="shared" si="7"/>
        <v>0.29466666666666663</v>
      </c>
      <c r="J26">
        <f t="shared" si="8"/>
        <v>8.6666666666666642E-2</v>
      </c>
      <c r="K26">
        <f t="shared" si="9"/>
        <v>5.566666666666667E-2</v>
      </c>
      <c r="L26">
        <f t="shared" si="10"/>
        <v>0.16933333333333334</v>
      </c>
      <c r="M26">
        <f t="shared" si="11"/>
        <v>0.11366666666666667</v>
      </c>
    </row>
    <row r="27" spans="1:14" x14ac:dyDescent="0.25">
      <c r="B27">
        <f t="shared" si="0"/>
        <v>3.6999999999999998E-2</v>
      </c>
      <c r="C27">
        <f t="shared" si="1"/>
        <v>3.9333333333333331E-2</v>
      </c>
      <c r="D27">
        <f t="shared" si="2"/>
        <v>2.3333333333333331E-3</v>
      </c>
      <c r="E27">
        <f t="shared" si="3"/>
        <v>3.9E-2</v>
      </c>
      <c r="F27">
        <f t="shared" si="4"/>
        <v>4.3000000000000003E-2</v>
      </c>
      <c r="G27">
        <f t="shared" si="5"/>
        <v>4.0000000000000036E-3</v>
      </c>
      <c r="H27">
        <f t="shared" si="6"/>
        <v>3.9E-2</v>
      </c>
      <c r="I27">
        <f t="shared" si="7"/>
        <v>4.3000000000000003E-2</v>
      </c>
      <c r="J27">
        <f t="shared" si="8"/>
        <v>4.0000000000000036E-3</v>
      </c>
      <c r="K27">
        <f t="shared" si="9"/>
        <v>0.33933333333333332</v>
      </c>
      <c r="L27">
        <f t="shared" si="10"/>
        <v>0.91800000000000004</v>
      </c>
      <c r="M27">
        <f t="shared" si="11"/>
        <v>0.57866666666666666</v>
      </c>
    </row>
    <row r="28" spans="1:14" x14ac:dyDescent="0.25">
      <c r="B28">
        <f t="shared" si="0"/>
        <v>3.7333333333333329E-2</v>
      </c>
      <c r="C28">
        <f t="shared" si="1"/>
        <v>3.7999999999999999E-2</v>
      </c>
      <c r="D28">
        <f t="shared" si="2"/>
        <v>6.6666666666666957E-4</v>
      </c>
      <c r="E28">
        <f t="shared" si="3"/>
        <v>5.2666666666666667E-2</v>
      </c>
      <c r="F28">
        <f t="shared" si="4"/>
        <v>5.3999999999999999E-2</v>
      </c>
      <c r="G28">
        <f t="shared" si="5"/>
        <v>1.3333333333333322E-3</v>
      </c>
      <c r="H28">
        <f t="shared" si="6"/>
        <v>3.833333333333333E-2</v>
      </c>
      <c r="I28">
        <f t="shared" si="7"/>
        <v>4.2333333333333334E-2</v>
      </c>
      <c r="J28">
        <f t="shared" si="8"/>
        <v>4.0000000000000036E-3</v>
      </c>
      <c r="K28">
        <f t="shared" si="9"/>
        <v>5.2666666666666667E-2</v>
      </c>
      <c r="L28">
        <f t="shared" si="10"/>
        <v>0.218</v>
      </c>
      <c r="M28">
        <f t="shared" si="11"/>
        <v>0.16533333333333333</v>
      </c>
    </row>
  </sheetData>
  <conditionalFormatting sqref="B21:C28 E21:F28 H21:I28 K21:L28">
    <cfRule type="cellIs" dxfId="6" priority="5" operator="lessThan">
      <formula>0.05</formula>
    </cfRule>
    <cfRule type="cellIs" dxfId="5" priority="6" operator="greaterThan">
      <formula>1</formula>
    </cfRule>
  </conditionalFormatting>
  <conditionalFormatting sqref="D21:D28 G21:G28 J21:J28 M21:M28">
    <cfRule type="cellIs" dxfId="4" priority="2" operator="lessThan">
      <formula>0.22</formula>
    </cfRule>
  </conditionalFormatting>
  <conditionalFormatting sqref="C21:C28 F21:F28 I21:I28 L21:L28">
    <cfRule type="cellIs" dxfId="0" priority="1" operator="greaterThan">
      <formula>0.48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Giessner, Melanie</cp:lastModifiedBy>
  <dcterms:created xsi:type="dcterms:W3CDTF">2024-12-13T17:04:06Z</dcterms:created>
  <dcterms:modified xsi:type="dcterms:W3CDTF">2025-02-13T14:41:09Z</dcterms:modified>
</cp:coreProperties>
</file>