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Biogeochemistry\COMPASS Synoptics\Samples &amp; Data\Porewater\FE\2023 Runs\"/>
    </mc:Choice>
  </mc:AlternateContent>
  <xr:revisionPtr revIDLastSave="0" documentId="8_{C3EABB48-DFF4-43A7-819A-6C6D0E449561}" xr6:coauthVersionLast="47" xr6:coauthVersionMax="47" xr10:uidLastSave="{00000000-0000-0000-0000-000000000000}"/>
  <bookViews>
    <workbookView xWindow="3705" yWindow="2205" windowWidth="14910" windowHeight="11985" activeTab="1" xr2:uid="{9B7D665B-32C8-4E46-8A09-9F7181AFDD9E}"/>
  </bookViews>
  <sheets>
    <sheet name="Read 1" sheetId="1" r:id="rId1"/>
    <sheet name="Read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7" i="2" l="1"/>
  <c r="I17" i="2"/>
  <c r="F17" i="2"/>
  <c r="C17" i="2"/>
  <c r="L16" i="2"/>
  <c r="I16" i="2"/>
  <c r="F16" i="2"/>
  <c r="C16" i="2"/>
  <c r="L15" i="2"/>
  <c r="I15" i="2"/>
  <c r="F15" i="2"/>
  <c r="C15" i="2"/>
  <c r="L14" i="2"/>
  <c r="I14" i="2"/>
  <c r="F14" i="2"/>
  <c r="C14" i="2"/>
  <c r="L13" i="2"/>
  <c r="I13" i="2"/>
  <c r="F13" i="2"/>
  <c r="C13" i="2"/>
  <c r="L12" i="2"/>
  <c r="I12" i="2"/>
  <c r="F12" i="2"/>
  <c r="C12" i="2"/>
  <c r="L11" i="2"/>
  <c r="I11" i="2"/>
  <c r="F11" i="2"/>
  <c r="C11" i="2"/>
  <c r="L10" i="2"/>
  <c r="I10" i="2"/>
  <c r="F10" i="2"/>
  <c r="C10" i="2"/>
  <c r="L17" i="1"/>
  <c r="L16" i="1"/>
  <c r="L15" i="1"/>
  <c r="L14" i="1"/>
  <c r="L13" i="1"/>
  <c r="L12" i="1"/>
  <c r="L11" i="1"/>
  <c r="L10" i="1"/>
  <c r="I17" i="1"/>
  <c r="I16" i="1"/>
  <c r="I15" i="1"/>
  <c r="I14" i="1"/>
  <c r="I13" i="1"/>
  <c r="I12" i="1"/>
  <c r="I11" i="1"/>
  <c r="I10" i="1"/>
  <c r="F17" i="1"/>
  <c r="F16" i="1"/>
  <c r="F15" i="1"/>
  <c r="F14" i="1"/>
  <c r="F13" i="1"/>
  <c r="F12" i="1"/>
  <c r="F11" i="1"/>
  <c r="F10" i="1"/>
  <c r="C11" i="1"/>
  <c r="C12" i="1"/>
  <c r="C13" i="1"/>
  <c r="C14" i="1"/>
  <c r="C15" i="1"/>
  <c r="C16" i="1"/>
  <c r="C17" i="1"/>
  <c r="C10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<sst xmlns="http://schemas.openxmlformats.org/spreadsheetml/2006/main" count="16" uniqueCount="8">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</sst>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49087-632C-46FA-AB2F-BE00407A21D8}">
  <dimension ref="A1:N17"/>
  <sheetViews>
    <sheetView workbookViewId="0">
      <selection activeCell="C10" sqref="C10:L17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0.222</v>
      </c>
      <c r="C2" s="3">
        <v>0.23599999999999999</v>
      </c>
      <c r="D2" s="3">
        <v>0.25</v>
      </c>
      <c r="E2" s="3">
        <v>1.171</v>
      </c>
      <c r="F2" s="3">
        <v>0.94799999999999995</v>
      </c>
      <c r="G2" s="3">
        <v>0.92500000000000004</v>
      </c>
      <c r="H2" s="3">
        <v>0.71699999999999997</v>
      </c>
      <c r="I2" s="3">
        <v>0.76400000000000001</v>
      </c>
      <c r="J2" s="3">
        <v>0.82699999999999996</v>
      </c>
      <c r="K2" s="3">
        <v>0.33300000000000002</v>
      </c>
      <c r="L2" s="3">
        <v>0.33200000000000002</v>
      </c>
      <c r="M2" s="3">
        <v>0.312</v>
      </c>
      <c r="N2" s="4">
        <v>562</v>
      </c>
    </row>
    <row r="3" spans="1:14" x14ac:dyDescent="0.25">
      <c r="A3" s="2" t="s">
        <v>1</v>
      </c>
      <c r="B3" s="3">
        <v>6.9000000000000006E-2</v>
      </c>
      <c r="C3" s="3">
        <v>6.9000000000000006E-2</v>
      </c>
      <c r="D3" s="3">
        <v>6.9000000000000006E-2</v>
      </c>
      <c r="E3" s="3">
        <v>0.58399999999999996</v>
      </c>
      <c r="F3" s="3">
        <v>0.48799999999999999</v>
      </c>
      <c r="G3" s="3">
        <v>0.54900000000000004</v>
      </c>
      <c r="H3" s="3">
        <v>0.33100000000000002</v>
      </c>
      <c r="I3" s="3">
        <v>0.29499999999999998</v>
      </c>
      <c r="J3" s="3">
        <v>0.36</v>
      </c>
      <c r="K3" s="3">
        <v>0.49399999999999999</v>
      </c>
      <c r="L3" s="3">
        <v>0.42799999999999999</v>
      </c>
      <c r="M3" s="3">
        <v>0.40799999999999997</v>
      </c>
      <c r="N3" s="4">
        <v>562</v>
      </c>
    </row>
    <row r="4" spans="1:14" x14ac:dyDescent="0.25">
      <c r="A4" s="2" t="s">
        <v>2</v>
      </c>
      <c r="B4" s="3">
        <v>0.04</v>
      </c>
      <c r="C4" s="3">
        <v>3.9E-2</v>
      </c>
      <c r="D4" s="3">
        <v>3.9E-2</v>
      </c>
      <c r="E4" s="3">
        <v>0.54500000000000004</v>
      </c>
      <c r="F4" s="3">
        <v>0.55200000000000005</v>
      </c>
      <c r="G4" s="3">
        <v>0.71</v>
      </c>
      <c r="H4" s="3">
        <v>0.27700000000000002</v>
      </c>
      <c r="I4" s="3">
        <v>0.20599999999999999</v>
      </c>
      <c r="J4" s="3">
        <v>0.26</v>
      </c>
      <c r="K4" s="3">
        <v>0.67200000000000004</v>
      </c>
      <c r="L4" s="3">
        <v>0.54100000000000004</v>
      </c>
      <c r="M4" s="3">
        <v>0.67200000000000004</v>
      </c>
      <c r="N4" s="4">
        <v>562</v>
      </c>
    </row>
    <row r="5" spans="1:14" x14ac:dyDescent="0.25">
      <c r="A5" s="2" t="s">
        <v>3</v>
      </c>
      <c r="B5" s="3">
        <v>3.7999999999999999E-2</v>
      </c>
      <c r="C5" s="3">
        <v>3.7999999999999999E-2</v>
      </c>
      <c r="D5" s="3">
        <v>3.7999999999999999E-2</v>
      </c>
      <c r="E5" s="3">
        <v>0.57799999999999996</v>
      </c>
      <c r="F5" s="3">
        <v>0.39900000000000002</v>
      </c>
      <c r="G5" s="3">
        <v>0.42799999999999999</v>
      </c>
      <c r="H5" s="3">
        <v>0.27700000000000002</v>
      </c>
      <c r="I5" s="3">
        <v>0.22600000000000001</v>
      </c>
      <c r="J5" s="3">
        <v>0.34200000000000003</v>
      </c>
      <c r="K5" s="3">
        <v>0.47099999999999997</v>
      </c>
      <c r="L5" s="3">
        <v>0.439</v>
      </c>
      <c r="M5" s="3">
        <v>0.47199999999999998</v>
      </c>
      <c r="N5" s="4">
        <v>562</v>
      </c>
    </row>
    <row r="6" spans="1:14" x14ac:dyDescent="0.25">
      <c r="A6" s="2" t="s">
        <v>4</v>
      </c>
      <c r="B6" s="3">
        <v>4.1000000000000002E-2</v>
      </c>
      <c r="C6" s="3">
        <v>4.1000000000000002E-2</v>
      </c>
      <c r="D6" s="3">
        <v>0.04</v>
      </c>
      <c r="E6" s="3">
        <v>0.44500000000000001</v>
      </c>
      <c r="F6" s="3">
        <v>0.42</v>
      </c>
      <c r="G6" s="3">
        <v>0.42599999999999999</v>
      </c>
      <c r="H6" s="3">
        <v>0.56499999999999995</v>
      </c>
      <c r="I6" s="3">
        <v>0.5</v>
      </c>
      <c r="J6" s="3">
        <v>0.53</v>
      </c>
      <c r="K6" s="3">
        <v>0.72399999999999998</v>
      </c>
      <c r="L6" s="3">
        <v>0.55800000000000005</v>
      </c>
      <c r="M6" s="3">
        <v>0.55800000000000005</v>
      </c>
      <c r="N6" s="4">
        <v>562</v>
      </c>
    </row>
    <row r="7" spans="1:14" x14ac:dyDescent="0.25">
      <c r="A7" s="2" t="s">
        <v>5</v>
      </c>
      <c r="B7" s="3">
        <v>3.7999999999999999E-2</v>
      </c>
      <c r="C7" s="3">
        <v>3.7999999999999999E-2</v>
      </c>
      <c r="D7" s="3">
        <v>3.7999999999999999E-2</v>
      </c>
      <c r="E7" s="3">
        <v>0.52300000000000002</v>
      </c>
      <c r="F7" s="3">
        <v>0.54300000000000004</v>
      </c>
      <c r="G7" s="3">
        <v>0.58699999999999997</v>
      </c>
      <c r="H7" s="3">
        <v>0.33300000000000002</v>
      </c>
      <c r="I7" s="3">
        <v>0.438</v>
      </c>
      <c r="J7" s="3">
        <v>0.316</v>
      </c>
      <c r="K7" s="3">
        <v>0.65900000000000003</v>
      </c>
      <c r="L7" s="3">
        <v>0.59</v>
      </c>
      <c r="M7" s="3">
        <v>0.47499999999999998</v>
      </c>
      <c r="N7" s="4">
        <v>562</v>
      </c>
    </row>
    <row r="8" spans="1:14" x14ac:dyDescent="0.25">
      <c r="A8" s="2" t="s">
        <v>6</v>
      </c>
      <c r="B8" s="3">
        <v>3.6999999999999998E-2</v>
      </c>
      <c r="C8" s="3">
        <v>3.6999999999999998E-2</v>
      </c>
      <c r="D8" s="3">
        <v>3.6999999999999998E-2</v>
      </c>
      <c r="E8" s="3">
        <v>0.82</v>
      </c>
      <c r="F8" s="3">
        <v>0.80500000000000005</v>
      </c>
      <c r="G8" s="3">
        <v>0.879</v>
      </c>
      <c r="H8" s="3">
        <v>0.66900000000000004</v>
      </c>
      <c r="I8" s="3">
        <v>0.57499999999999996</v>
      </c>
      <c r="J8" s="3">
        <v>0.56899999999999995</v>
      </c>
      <c r="K8" s="3">
        <v>0.56599999999999995</v>
      </c>
      <c r="L8" s="3">
        <v>0.54700000000000004</v>
      </c>
      <c r="M8" s="3">
        <v>0.60799999999999998</v>
      </c>
      <c r="N8" s="4">
        <v>562</v>
      </c>
    </row>
    <row r="9" spans="1:14" x14ac:dyDescent="0.25">
      <c r="A9" s="2" t="s">
        <v>7</v>
      </c>
      <c r="B9" s="3">
        <v>3.6999999999999998E-2</v>
      </c>
      <c r="C9" s="3">
        <v>3.6999999999999998E-2</v>
      </c>
      <c r="D9" s="3">
        <v>3.7999999999999999E-2</v>
      </c>
      <c r="E9" s="3">
        <v>0.60299999999999998</v>
      </c>
      <c r="F9" s="3">
        <v>0.61599999999999999</v>
      </c>
      <c r="G9" s="3">
        <v>0.68500000000000005</v>
      </c>
      <c r="H9" s="3">
        <v>0.64400000000000002</v>
      </c>
      <c r="I9" s="3">
        <v>0.62</v>
      </c>
      <c r="J9" s="3">
        <v>0.629</v>
      </c>
      <c r="K9" s="3">
        <v>0.84899999999999998</v>
      </c>
      <c r="L9" s="3">
        <v>0.70099999999999996</v>
      </c>
      <c r="M9" s="3">
        <v>0.67</v>
      </c>
      <c r="N9" s="4">
        <v>562</v>
      </c>
    </row>
    <row r="10" spans="1:14" x14ac:dyDescent="0.25">
      <c r="C10">
        <f>AVERAGE(B2:D2)</f>
        <v>0.23599999999999999</v>
      </c>
      <c r="F10">
        <f>AVERAGE(E2:G2)</f>
        <v>1.0146666666666666</v>
      </c>
      <c r="I10">
        <f>AVERAGE(H2:J2)</f>
        <v>0.76933333333333331</v>
      </c>
      <c r="L10">
        <f>AVERAGE(K2:M2)</f>
        <v>0.32566666666666672</v>
      </c>
    </row>
    <row r="11" spans="1:14" x14ac:dyDescent="0.25">
      <c r="C11">
        <f t="shared" ref="C11:C17" si="0">AVERAGE(B3:D3)</f>
        <v>6.9000000000000006E-2</v>
      </c>
      <c r="F11">
        <f t="shared" ref="F11:F17" si="1">AVERAGE(E3:G3)</f>
        <v>0.54033333333333333</v>
      </c>
      <c r="I11">
        <f t="shared" ref="I11:I17" si="2">AVERAGE(H3:J3)</f>
        <v>0.32866666666666666</v>
      </c>
      <c r="L11">
        <f t="shared" ref="L11:L17" si="3">AVERAGE(K3:M3)</f>
        <v>0.4433333333333333</v>
      </c>
    </row>
    <row r="12" spans="1:14" x14ac:dyDescent="0.25">
      <c r="C12">
        <f t="shared" si="0"/>
        <v>3.9333333333333331E-2</v>
      </c>
      <c r="F12">
        <f t="shared" si="1"/>
        <v>0.60233333333333328</v>
      </c>
      <c r="I12">
        <f t="shared" si="2"/>
        <v>0.24766666666666667</v>
      </c>
      <c r="L12">
        <f t="shared" si="3"/>
        <v>0.62833333333333341</v>
      </c>
    </row>
    <row r="13" spans="1:14" x14ac:dyDescent="0.25">
      <c r="C13">
        <f t="shared" si="0"/>
        <v>3.7999999999999999E-2</v>
      </c>
      <c r="F13">
        <f t="shared" si="1"/>
        <v>0.46833333333333332</v>
      </c>
      <c r="I13">
        <f t="shared" si="2"/>
        <v>0.28166666666666668</v>
      </c>
      <c r="L13">
        <f t="shared" si="3"/>
        <v>0.46066666666666661</v>
      </c>
    </row>
    <row r="14" spans="1:14" x14ac:dyDescent="0.25">
      <c r="C14">
        <f t="shared" si="0"/>
        <v>4.0666666666666663E-2</v>
      </c>
      <c r="F14">
        <f t="shared" si="1"/>
        <v>0.43033333333333329</v>
      </c>
      <c r="I14">
        <f t="shared" si="2"/>
        <v>0.53166666666666662</v>
      </c>
      <c r="L14">
        <f t="shared" si="3"/>
        <v>0.6133333333333334</v>
      </c>
    </row>
    <row r="15" spans="1:14" x14ac:dyDescent="0.25">
      <c r="C15">
        <f t="shared" si="0"/>
        <v>3.7999999999999999E-2</v>
      </c>
      <c r="F15">
        <f t="shared" si="1"/>
        <v>0.55100000000000005</v>
      </c>
      <c r="I15">
        <f t="shared" si="2"/>
        <v>0.36233333333333334</v>
      </c>
      <c r="L15">
        <f t="shared" si="3"/>
        <v>0.57466666666666677</v>
      </c>
    </row>
    <row r="16" spans="1:14" x14ac:dyDescent="0.25">
      <c r="C16">
        <f t="shared" si="0"/>
        <v>3.6999999999999998E-2</v>
      </c>
      <c r="F16">
        <f t="shared" si="1"/>
        <v>0.83466666666666667</v>
      </c>
      <c r="I16">
        <f t="shared" si="2"/>
        <v>0.60433333333333328</v>
      </c>
      <c r="L16">
        <f t="shared" si="3"/>
        <v>0.57366666666666666</v>
      </c>
    </row>
    <row r="17" spans="3:12" x14ac:dyDescent="0.25">
      <c r="C17">
        <f t="shared" si="0"/>
        <v>3.7333333333333329E-2</v>
      </c>
      <c r="F17">
        <f t="shared" si="1"/>
        <v>0.6346666666666666</v>
      </c>
      <c r="I17">
        <f t="shared" si="2"/>
        <v>0.63100000000000001</v>
      </c>
      <c r="L17">
        <f t="shared" si="3"/>
        <v>0.73999999999999988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302B9-1DD4-4E00-9995-D8434EB6C4E6}">
  <dimension ref="A1:N17"/>
  <sheetViews>
    <sheetView tabSelected="1" workbookViewId="0">
      <selection activeCell="D17" sqref="D17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0.36199999999999999</v>
      </c>
      <c r="C2" s="3">
        <v>0.34899999999999998</v>
      </c>
      <c r="D2" s="3">
        <v>0.40500000000000003</v>
      </c>
      <c r="E2" s="3">
        <v>1.4359999999999999</v>
      </c>
      <c r="F2" s="3">
        <v>1.353</v>
      </c>
      <c r="G2" s="3">
        <v>1.504</v>
      </c>
      <c r="H2" s="3">
        <v>1.3180000000000001</v>
      </c>
      <c r="I2" s="3">
        <v>1.1719999999999999</v>
      </c>
      <c r="J2" s="3">
        <v>1.1599999999999999</v>
      </c>
      <c r="K2" s="3">
        <v>0.45900000000000002</v>
      </c>
      <c r="L2" s="3">
        <v>0.47299999999999998</v>
      </c>
      <c r="M2" s="3">
        <v>0.42699999999999999</v>
      </c>
      <c r="N2" s="4">
        <v>562</v>
      </c>
    </row>
    <row r="3" spans="1:14" x14ac:dyDescent="0.25">
      <c r="A3" s="2" t="s">
        <v>1</v>
      </c>
      <c r="B3" s="3">
        <v>9.0999999999999998E-2</v>
      </c>
      <c r="C3" s="3">
        <v>9.2999999999999999E-2</v>
      </c>
      <c r="D3" s="3">
        <v>9.1999999999999998E-2</v>
      </c>
      <c r="E3" s="3">
        <v>1.054</v>
      </c>
      <c r="F3" s="3">
        <v>1.125</v>
      </c>
      <c r="G3" s="3">
        <v>1.069</v>
      </c>
      <c r="H3" s="3">
        <v>0.48499999999999999</v>
      </c>
      <c r="I3" s="3">
        <v>0.45300000000000001</v>
      </c>
      <c r="J3" s="3">
        <v>0.42899999999999999</v>
      </c>
      <c r="K3" s="3">
        <v>0.76700000000000002</v>
      </c>
      <c r="L3" s="3">
        <v>0.69699999999999995</v>
      </c>
      <c r="M3" s="3">
        <v>0.66500000000000004</v>
      </c>
      <c r="N3" s="4">
        <v>562</v>
      </c>
    </row>
    <row r="4" spans="1:14" x14ac:dyDescent="0.25">
      <c r="A4" s="2" t="s">
        <v>2</v>
      </c>
      <c r="B4" s="3">
        <v>4.9000000000000002E-2</v>
      </c>
      <c r="C4" s="3">
        <v>4.1000000000000002E-2</v>
      </c>
      <c r="D4" s="3">
        <v>4.2000000000000003E-2</v>
      </c>
      <c r="E4" s="3">
        <v>1.075</v>
      </c>
      <c r="F4" s="3">
        <v>1.0569999999999999</v>
      </c>
      <c r="G4" s="3">
        <v>1.274</v>
      </c>
      <c r="H4" s="3">
        <v>0.32600000000000001</v>
      </c>
      <c r="I4" s="3">
        <v>0.311</v>
      </c>
      <c r="J4" s="3">
        <v>0.29399999999999998</v>
      </c>
      <c r="K4" s="3">
        <v>1.081</v>
      </c>
      <c r="L4" s="3">
        <v>0.96699999999999997</v>
      </c>
      <c r="M4" s="3">
        <v>1.0069999999999999</v>
      </c>
      <c r="N4" s="4">
        <v>562</v>
      </c>
    </row>
    <row r="5" spans="1:14" x14ac:dyDescent="0.25">
      <c r="A5" s="2" t="s">
        <v>3</v>
      </c>
      <c r="B5" s="3">
        <v>3.9E-2</v>
      </c>
      <c r="C5" s="3">
        <v>0.04</v>
      </c>
      <c r="D5" s="3">
        <v>3.9E-2</v>
      </c>
      <c r="E5" s="3">
        <v>0.85899999999999999</v>
      </c>
      <c r="F5" s="3">
        <v>0.71399999999999997</v>
      </c>
      <c r="G5" s="3">
        <v>0.72</v>
      </c>
      <c r="H5" s="3">
        <v>0.32200000000000001</v>
      </c>
      <c r="I5" s="3">
        <v>0.255</v>
      </c>
      <c r="J5" s="3">
        <v>0.35499999999999998</v>
      </c>
      <c r="K5" s="3">
        <v>0.7</v>
      </c>
      <c r="L5" s="3">
        <v>0.68100000000000005</v>
      </c>
      <c r="M5" s="3">
        <v>0.67500000000000004</v>
      </c>
      <c r="N5" s="4">
        <v>562</v>
      </c>
    </row>
    <row r="6" spans="1:14" x14ac:dyDescent="0.25">
      <c r="A6" s="2" t="s">
        <v>4</v>
      </c>
      <c r="B6" s="3">
        <v>0.20699999999999999</v>
      </c>
      <c r="C6" s="3">
        <v>0.20200000000000001</v>
      </c>
      <c r="D6" s="3">
        <v>0.17899999999999999</v>
      </c>
      <c r="E6" s="3">
        <v>0.78100000000000003</v>
      </c>
      <c r="F6" s="3">
        <v>0.65600000000000003</v>
      </c>
      <c r="G6" s="3">
        <v>0.68500000000000005</v>
      </c>
      <c r="H6" s="3">
        <v>0.92800000000000005</v>
      </c>
      <c r="I6" s="3">
        <v>0.86499999999999999</v>
      </c>
      <c r="J6" s="3">
        <v>0.77900000000000003</v>
      </c>
      <c r="K6" s="3">
        <v>1.2250000000000001</v>
      </c>
      <c r="L6" s="3">
        <v>1.1910000000000001</v>
      </c>
      <c r="M6" s="3">
        <v>1.091</v>
      </c>
      <c r="N6" s="4">
        <v>562</v>
      </c>
    </row>
    <row r="7" spans="1:14" x14ac:dyDescent="0.25">
      <c r="A7" s="2" t="s">
        <v>5</v>
      </c>
      <c r="B7" s="3">
        <v>6.7000000000000004E-2</v>
      </c>
      <c r="C7" s="3">
        <v>6.4000000000000001E-2</v>
      </c>
      <c r="D7" s="3">
        <v>6.2E-2</v>
      </c>
      <c r="E7" s="3">
        <v>0.88400000000000001</v>
      </c>
      <c r="F7" s="3">
        <v>0.84</v>
      </c>
      <c r="G7" s="3">
        <v>0.84199999999999997</v>
      </c>
      <c r="H7" s="3">
        <v>0.58499999999999996</v>
      </c>
      <c r="I7" s="3">
        <v>0.69599999999999995</v>
      </c>
      <c r="J7" s="3">
        <v>0.55800000000000005</v>
      </c>
      <c r="K7" s="3">
        <v>0.94299999999999995</v>
      </c>
      <c r="L7" s="3">
        <v>0.97399999999999998</v>
      </c>
      <c r="M7" s="3">
        <v>0.89</v>
      </c>
      <c r="N7" s="4">
        <v>562</v>
      </c>
    </row>
    <row r="8" spans="1:14" x14ac:dyDescent="0.25">
      <c r="A8" s="2" t="s">
        <v>6</v>
      </c>
      <c r="B8" s="3">
        <v>4.2000000000000003E-2</v>
      </c>
      <c r="C8" s="3">
        <v>3.9E-2</v>
      </c>
      <c r="D8" s="3">
        <v>0.04</v>
      </c>
      <c r="E8" s="3">
        <v>1.276</v>
      </c>
      <c r="F8" s="3">
        <v>1.1499999999999999</v>
      </c>
      <c r="G8" s="3">
        <v>1.238</v>
      </c>
      <c r="H8" s="3">
        <v>1.127</v>
      </c>
      <c r="I8" s="3">
        <v>1.097</v>
      </c>
      <c r="J8" s="3">
        <v>1.038</v>
      </c>
      <c r="K8" s="3">
        <v>0.90300000000000002</v>
      </c>
      <c r="L8" s="3">
        <v>0.82299999999999995</v>
      </c>
      <c r="M8" s="3">
        <v>0.78600000000000003</v>
      </c>
      <c r="N8" s="4">
        <v>562</v>
      </c>
    </row>
    <row r="9" spans="1:14" x14ac:dyDescent="0.25">
      <c r="A9" s="2" t="s">
        <v>7</v>
      </c>
      <c r="B9" s="3">
        <v>4.2000000000000003E-2</v>
      </c>
      <c r="C9" s="3">
        <v>3.7999999999999999E-2</v>
      </c>
      <c r="D9" s="3">
        <v>3.9E-2</v>
      </c>
      <c r="E9" s="3">
        <v>0.93400000000000005</v>
      </c>
      <c r="F9" s="3">
        <v>0.86499999999999999</v>
      </c>
      <c r="G9" s="3">
        <v>0.83299999999999996</v>
      </c>
      <c r="H9" s="3">
        <v>1.1120000000000001</v>
      </c>
      <c r="I9" s="3">
        <v>0.96099999999999997</v>
      </c>
      <c r="J9" s="3">
        <v>0.93600000000000005</v>
      </c>
      <c r="K9" s="3">
        <v>1.22</v>
      </c>
      <c r="L9" s="3">
        <v>1.0580000000000001</v>
      </c>
      <c r="M9" s="3">
        <v>1.0780000000000001</v>
      </c>
      <c r="N9" s="4">
        <v>562</v>
      </c>
    </row>
    <row r="10" spans="1:14" x14ac:dyDescent="0.25">
      <c r="C10">
        <f>AVERAGE(B2:D2)</f>
        <v>0.37200000000000005</v>
      </c>
      <c r="F10">
        <f>AVERAGE(E2:G2)</f>
        <v>1.4309999999999998</v>
      </c>
      <c r="I10">
        <f>AVERAGE(H2:J2)</f>
        <v>1.2166666666666668</v>
      </c>
      <c r="L10">
        <f>AVERAGE(K2:M2)</f>
        <v>0.45300000000000001</v>
      </c>
    </row>
    <row r="11" spans="1:14" x14ac:dyDescent="0.25">
      <c r="C11">
        <f t="shared" ref="C11:C17" si="0">AVERAGE(B3:D3)</f>
        <v>9.2000000000000012E-2</v>
      </c>
      <c r="F11">
        <f t="shared" ref="F11:F17" si="1">AVERAGE(E3:G3)</f>
        <v>1.0826666666666667</v>
      </c>
      <c r="I11">
        <f t="shared" ref="I11:I17" si="2">AVERAGE(H3:J3)</f>
        <v>0.45566666666666666</v>
      </c>
      <c r="L11">
        <f t="shared" ref="L11:L17" si="3">AVERAGE(K3:M3)</f>
        <v>0.70966666666666667</v>
      </c>
    </row>
    <row r="12" spans="1:14" x14ac:dyDescent="0.25">
      <c r="C12">
        <f t="shared" si="0"/>
        <v>4.4000000000000004E-2</v>
      </c>
      <c r="F12">
        <f t="shared" si="1"/>
        <v>1.1353333333333333</v>
      </c>
      <c r="I12">
        <f t="shared" si="2"/>
        <v>0.31033333333333335</v>
      </c>
      <c r="L12">
        <f t="shared" si="3"/>
        <v>1.0183333333333333</v>
      </c>
    </row>
    <row r="13" spans="1:14" x14ac:dyDescent="0.25">
      <c r="C13">
        <f t="shared" si="0"/>
        <v>3.9333333333333331E-2</v>
      </c>
      <c r="F13">
        <f t="shared" si="1"/>
        <v>0.76433333333333342</v>
      </c>
      <c r="I13">
        <f t="shared" si="2"/>
        <v>0.31066666666666665</v>
      </c>
      <c r="L13">
        <f t="shared" si="3"/>
        <v>0.68533333333333335</v>
      </c>
    </row>
    <row r="14" spans="1:14" x14ac:dyDescent="0.25">
      <c r="C14">
        <f t="shared" si="0"/>
        <v>0.19600000000000004</v>
      </c>
      <c r="F14">
        <f t="shared" si="1"/>
        <v>0.70733333333333326</v>
      </c>
      <c r="I14">
        <f t="shared" si="2"/>
        <v>0.85733333333333339</v>
      </c>
      <c r="L14">
        <f t="shared" si="3"/>
        <v>1.1690000000000003</v>
      </c>
    </row>
    <row r="15" spans="1:14" x14ac:dyDescent="0.25">
      <c r="C15">
        <f t="shared" si="0"/>
        <v>6.433333333333334E-2</v>
      </c>
      <c r="F15">
        <f t="shared" si="1"/>
        <v>0.85533333333333328</v>
      </c>
      <c r="I15">
        <f t="shared" si="2"/>
        <v>0.61299999999999999</v>
      </c>
      <c r="L15">
        <f t="shared" si="3"/>
        <v>0.93566666666666665</v>
      </c>
    </row>
    <row r="16" spans="1:14" x14ac:dyDescent="0.25">
      <c r="C16">
        <f t="shared" si="0"/>
        <v>4.0333333333333332E-2</v>
      </c>
      <c r="F16">
        <f t="shared" si="1"/>
        <v>1.2213333333333334</v>
      </c>
      <c r="I16">
        <f t="shared" si="2"/>
        <v>1.0873333333333335</v>
      </c>
      <c r="L16">
        <f t="shared" si="3"/>
        <v>0.83733333333333337</v>
      </c>
    </row>
    <row r="17" spans="3:12" x14ac:dyDescent="0.25">
      <c r="C17">
        <f t="shared" si="0"/>
        <v>3.9666666666666663E-2</v>
      </c>
      <c r="F17">
        <f t="shared" si="1"/>
        <v>0.87733333333333319</v>
      </c>
      <c r="I17">
        <f t="shared" si="2"/>
        <v>1.0029999999999999</v>
      </c>
      <c r="L17">
        <f t="shared" si="3"/>
        <v>1.1186666666666667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1</vt:lpstr>
      <vt:lpstr>Read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Giessner, Melanie</dc:creator>
  <cp:lastModifiedBy>Giessner, Melanie</cp:lastModifiedBy>
  <dcterms:created xsi:type="dcterms:W3CDTF">2024-05-13T18:39:53Z</dcterms:created>
  <dcterms:modified xsi:type="dcterms:W3CDTF">2024-05-13T18:43:38Z</dcterms:modified>
</cp:coreProperties>
</file>