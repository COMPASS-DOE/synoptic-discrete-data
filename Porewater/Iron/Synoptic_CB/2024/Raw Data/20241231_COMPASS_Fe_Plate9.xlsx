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Fe\COMPASS\Synoptic\Raw Data\"/>
    </mc:Choice>
  </mc:AlternateContent>
  <xr:revisionPtr revIDLastSave="0" documentId="13_ncr:1_{9914BF4F-5688-4759-9BD1-B88994E0179E}" xr6:coauthVersionLast="47" xr6:coauthVersionMax="47" xr10:uidLastSave="{00000000-0000-0000-0000-000000000000}"/>
  <bookViews>
    <workbookView xWindow="705" yWindow="2130" windowWidth="16815" windowHeight="9885" xr2:uid="{C04A664B-AAA2-451A-A621-9BC230E582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M28" i="1" s="1"/>
  <c r="K28" i="1"/>
  <c r="J28" i="1"/>
  <c r="I28" i="1"/>
  <c r="H28" i="1"/>
  <c r="F28" i="1"/>
  <c r="G28" i="1" s="1"/>
  <c r="E28" i="1"/>
  <c r="C28" i="1"/>
  <c r="B28" i="1"/>
  <c r="D28" i="1" s="1"/>
  <c r="L27" i="1"/>
  <c r="M27" i="1" s="1"/>
  <c r="K27" i="1"/>
  <c r="I27" i="1"/>
  <c r="H27" i="1"/>
  <c r="J27" i="1" s="1"/>
  <c r="F27" i="1"/>
  <c r="G27" i="1" s="1"/>
  <c r="E27" i="1"/>
  <c r="C27" i="1"/>
  <c r="B27" i="1"/>
  <c r="D27" i="1" s="1"/>
  <c r="L26" i="1"/>
  <c r="M26" i="1" s="1"/>
  <c r="K26" i="1"/>
  <c r="J26" i="1"/>
  <c r="I26" i="1"/>
  <c r="H26" i="1"/>
  <c r="F26" i="1"/>
  <c r="G26" i="1" s="1"/>
  <c r="E26" i="1"/>
  <c r="C26" i="1"/>
  <c r="B26" i="1"/>
  <c r="D26" i="1" s="1"/>
  <c r="L25" i="1"/>
  <c r="M25" i="1" s="1"/>
  <c r="K25" i="1"/>
  <c r="J25" i="1"/>
  <c r="I25" i="1"/>
  <c r="H25" i="1"/>
  <c r="F25" i="1"/>
  <c r="G25" i="1" s="1"/>
  <c r="E25" i="1"/>
  <c r="C25" i="1"/>
  <c r="B25" i="1"/>
  <c r="D25" i="1" s="1"/>
  <c r="L24" i="1"/>
  <c r="M24" i="1" s="1"/>
  <c r="K24" i="1"/>
  <c r="J24" i="1"/>
  <c r="I24" i="1"/>
  <c r="H24" i="1"/>
  <c r="F24" i="1"/>
  <c r="G24" i="1" s="1"/>
  <c r="E24" i="1"/>
  <c r="C24" i="1"/>
  <c r="B24" i="1"/>
  <c r="D24" i="1" s="1"/>
  <c r="L23" i="1"/>
  <c r="M23" i="1" s="1"/>
  <c r="K23" i="1"/>
  <c r="J23" i="1"/>
  <c r="I23" i="1"/>
  <c r="H23" i="1"/>
  <c r="F23" i="1"/>
  <c r="G23" i="1" s="1"/>
  <c r="E23" i="1"/>
  <c r="C23" i="1"/>
  <c r="B23" i="1"/>
  <c r="D23" i="1" s="1"/>
  <c r="L22" i="1"/>
  <c r="M22" i="1" s="1"/>
  <c r="K22" i="1"/>
  <c r="J22" i="1"/>
  <c r="I22" i="1"/>
  <c r="H22" i="1"/>
  <c r="F22" i="1"/>
  <c r="G22" i="1" s="1"/>
  <c r="E22" i="1"/>
  <c r="C22" i="1"/>
  <c r="B22" i="1"/>
  <c r="D22" i="1" s="1"/>
  <c r="L21" i="1"/>
  <c r="M21" i="1" s="1"/>
  <c r="K21" i="1"/>
  <c r="J21" i="1"/>
  <c r="I21" i="1"/>
  <c r="H21" i="1"/>
  <c r="F21" i="1"/>
  <c r="G21" i="1" s="1"/>
  <c r="E21" i="1"/>
  <c r="C21" i="1"/>
  <c r="B21" i="1"/>
  <c r="D21" i="1" s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<sst xmlns="http://schemas.openxmlformats.org/spreadsheetml/2006/main" count="16" uniqueCount="8">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</sst>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C7C0A-F8CD-4D6C-9C26-B4F8F09947A0}">
  <dimension ref="A1:N28"/>
  <sheetViews>
    <sheetView tabSelected="1" topLeftCell="A19" workbookViewId="0">
      <selection activeCell="N31" sqref="N3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0.21</v>
      </c>
      <c r="C2" s="3">
        <v>0.222</v>
      </c>
      <c r="D2" s="3">
        <v>0.22700000000000001</v>
      </c>
      <c r="E2" s="3">
        <v>6.0999999999999999E-2</v>
      </c>
      <c r="F2" s="3">
        <v>6.0999999999999999E-2</v>
      </c>
      <c r="G2" s="3">
        <v>0.06</v>
      </c>
      <c r="H2" s="3">
        <v>0.04</v>
      </c>
      <c r="I2" s="3">
        <v>3.7999999999999999E-2</v>
      </c>
      <c r="J2" s="3">
        <v>3.9E-2</v>
      </c>
      <c r="K2" s="3">
        <v>4.2000000000000003E-2</v>
      </c>
      <c r="L2" s="3">
        <v>4.2000000000000003E-2</v>
      </c>
      <c r="M2" s="3">
        <v>4.2000000000000003E-2</v>
      </c>
      <c r="N2" s="4">
        <v>562</v>
      </c>
    </row>
    <row r="3" spans="1:14" x14ac:dyDescent="0.25">
      <c r="A3" s="2" t="s">
        <v>1</v>
      </c>
      <c r="B3" s="3">
        <v>6.3E-2</v>
      </c>
      <c r="C3" s="3">
        <v>5.8999999999999997E-2</v>
      </c>
      <c r="D3" s="3">
        <v>5.8999999999999997E-2</v>
      </c>
      <c r="E3" s="3">
        <v>4.8000000000000001E-2</v>
      </c>
      <c r="F3" s="3">
        <v>4.7E-2</v>
      </c>
      <c r="G3" s="3">
        <v>4.7E-2</v>
      </c>
      <c r="H3" s="3">
        <v>0.30399999999999999</v>
      </c>
      <c r="I3" s="3">
        <v>0.28999999999999998</v>
      </c>
      <c r="J3" s="3">
        <v>0.28699999999999998</v>
      </c>
      <c r="K3" s="3">
        <v>0.188</v>
      </c>
      <c r="L3" s="3">
        <v>0.183</v>
      </c>
      <c r="M3" s="3">
        <v>0.18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5.3999999999999999E-2</v>
      </c>
      <c r="F4" s="3">
        <v>5.2999999999999999E-2</v>
      </c>
      <c r="G4" s="3">
        <v>5.1999999999999998E-2</v>
      </c>
      <c r="H4" s="3">
        <v>4.5999999999999999E-2</v>
      </c>
      <c r="I4" s="3">
        <v>4.5999999999999999E-2</v>
      </c>
      <c r="J4" s="3">
        <v>4.4999999999999998E-2</v>
      </c>
      <c r="K4" s="3">
        <v>4.2000000000000003E-2</v>
      </c>
      <c r="L4" s="3">
        <v>4.2000000000000003E-2</v>
      </c>
      <c r="M4" s="3">
        <v>4.2000000000000003E-2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3.6999999999999998E-2</v>
      </c>
      <c r="E5" s="3">
        <v>4.2999999999999997E-2</v>
      </c>
      <c r="F5" s="3">
        <v>4.2000000000000003E-2</v>
      </c>
      <c r="G5" s="3">
        <v>4.2000000000000003E-2</v>
      </c>
      <c r="H5" s="3">
        <v>4.5999999999999999E-2</v>
      </c>
      <c r="I5" s="3">
        <v>4.4999999999999998E-2</v>
      </c>
      <c r="J5" s="3">
        <v>4.5999999999999999E-2</v>
      </c>
      <c r="K5" s="3">
        <v>0.45500000000000002</v>
      </c>
      <c r="L5" s="3">
        <v>0.29199999999999998</v>
      </c>
      <c r="M5" s="3">
        <v>0.33300000000000002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0.04</v>
      </c>
      <c r="D6" s="3">
        <v>3.9E-2</v>
      </c>
      <c r="E6" s="3">
        <v>9.9000000000000005E-2</v>
      </c>
      <c r="F6" s="3">
        <v>8.4000000000000005E-2</v>
      </c>
      <c r="G6" s="3">
        <v>8.5999999999999993E-2</v>
      </c>
      <c r="H6" s="3">
        <v>0.13500000000000001</v>
      </c>
      <c r="I6" s="3">
        <v>7.0999999999999994E-2</v>
      </c>
      <c r="J6" s="3">
        <v>0.13500000000000001</v>
      </c>
      <c r="K6" s="3">
        <v>0.05</v>
      </c>
      <c r="L6" s="3">
        <v>4.9000000000000002E-2</v>
      </c>
      <c r="M6" s="3">
        <v>5.0999999999999997E-2</v>
      </c>
      <c r="N6" s="4">
        <v>562</v>
      </c>
    </row>
    <row r="7" spans="1:14" x14ac:dyDescent="0.25">
      <c r="A7" s="2" t="s">
        <v>5</v>
      </c>
      <c r="B7" s="3">
        <v>3.6999999999999998E-2</v>
      </c>
      <c r="C7" s="3">
        <v>3.7999999999999999E-2</v>
      </c>
      <c r="D7" s="3">
        <v>3.6999999999999998E-2</v>
      </c>
      <c r="E7" s="3">
        <v>6.5000000000000002E-2</v>
      </c>
      <c r="F7" s="3">
        <v>9.5000000000000001E-2</v>
      </c>
      <c r="G7" s="3">
        <v>0.10199999999999999</v>
      </c>
      <c r="H7" s="3">
        <v>0.112</v>
      </c>
      <c r="I7" s="3">
        <v>0.115</v>
      </c>
      <c r="J7" s="3">
        <v>0.14000000000000001</v>
      </c>
      <c r="K7" s="3">
        <v>4.4999999999999998E-2</v>
      </c>
      <c r="L7" s="3">
        <v>4.4999999999999998E-2</v>
      </c>
      <c r="M7" s="3">
        <v>4.4999999999999998E-2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3.7999999999999999E-2</v>
      </c>
      <c r="E8" s="3">
        <v>0.11700000000000001</v>
      </c>
      <c r="F8" s="3">
        <v>0.115</v>
      </c>
      <c r="G8" s="3">
        <v>0.113</v>
      </c>
      <c r="H8" s="3">
        <v>5.5E-2</v>
      </c>
      <c r="I8" s="3">
        <v>5.3999999999999999E-2</v>
      </c>
      <c r="J8" s="3">
        <v>5.3999999999999999E-2</v>
      </c>
      <c r="K8" s="3">
        <v>3.7999999999999999E-2</v>
      </c>
      <c r="L8" s="3">
        <v>3.7999999999999999E-2</v>
      </c>
      <c r="M8" s="3">
        <v>0.04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3.7999999999999999E-2</v>
      </c>
      <c r="D9" s="3">
        <v>3.7999999999999999E-2</v>
      </c>
      <c r="E9" s="3">
        <v>9.4E-2</v>
      </c>
      <c r="F9" s="3">
        <v>9.0999999999999998E-2</v>
      </c>
      <c r="G9" s="3">
        <v>9.0999999999999998E-2</v>
      </c>
      <c r="H9" s="3">
        <v>4.2000000000000003E-2</v>
      </c>
      <c r="I9" s="3">
        <v>4.2000000000000003E-2</v>
      </c>
      <c r="J9" s="3">
        <v>4.2999999999999997E-2</v>
      </c>
      <c r="K9" s="3">
        <v>3.7999999999999999E-2</v>
      </c>
      <c r="L9" s="3">
        <v>3.7999999999999999E-2</v>
      </c>
      <c r="M9" s="3">
        <v>3.9E-2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0.32500000000000001</v>
      </c>
      <c r="C12" s="3">
        <v>0.33700000000000002</v>
      </c>
      <c r="D12" s="3">
        <v>0.34399999999999997</v>
      </c>
      <c r="E12" s="3">
        <v>0.40899999999999997</v>
      </c>
      <c r="F12" s="3">
        <v>0.38900000000000001</v>
      </c>
      <c r="G12" s="3">
        <v>0.39600000000000002</v>
      </c>
      <c r="H12" s="3">
        <v>4.4999999999999998E-2</v>
      </c>
      <c r="I12" s="3">
        <v>4.4999999999999998E-2</v>
      </c>
      <c r="J12" s="3">
        <v>4.4999999999999998E-2</v>
      </c>
      <c r="K12" s="3">
        <v>6.2E-2</v>
      </c>
      <c r="L12" s="3">
        <v>6.3E-2</v>
      </c>
      <c r="M12" s="3">
        <v>6.5000000000000002E-2</v>
      </c>
      <c r="N12" s="4">
        <v>562</v>
      </c>
    </row>
    <row r="13" spans="1:14" x14ac:dyDescent="0.25">
      <c r="A13" s="2" t="s">
        <v>1</v>
      </c>
      <c r="B13" s="3">
        <v>8.2000000000000003E-2</v>
      </c>
      <c r="C13" s="3">
        <v>7.9000000000000001E-2</v>
      </c>
      <c r="D13" s="3">
        <v>0.08</v>
      </c>
      <c r="E13" s="3">
        <v>0.155</v>
      </c>
      <c r="F13" s="3">
        <v>0.151</v>
      </c>
      <c r="G13" s="3">
        <v>0.157</v>
      </c>
      <c r="H13" s="3">
        <v>0.30199999999999999</v>
      </c>
      <c r="I13" s="3">
        <v>0.29399999999999998</v>
      </c>
      <c r="J13" s="3">
        <v>0.28899999999999998</v>
      </c>
      <c r="K13" s="3">
        <v>0.182</v>
      </c>
      <c r="L13" s="3">
        <v>0.16900000000000001</v>
      </c>
      <c r="M13" s="3">
        <v>0.17299999999999999</v>
      </c>
      <c r="N13" s="4">
        <v>562</v>
      </c>
    </row>
    <row r="14" spans="1:14" x14ac:dyDescent="0.25">
      <c r="A14" s="2" t="s">
        <v>2</v>
      </c>
      <c r="B14" s="3">
        <v>4.1000000000000002E-2</v>
      </c>
      <c r="C14" s="3">
        <v>4.2000000000000003E-2</v>
      </c>
      <c r="D14" s="3">
        <v>4.1000000000000002E-2</v>
      </c>
      <c r="E14" s="3">
        <v>0.53600000000000003</v>
      </c>
      <c r="F14" s="3">
        <v>0.56200000000000006</v>
      </c>
      <c r="G14" s="3">
        <v>0.55400000000000005</v>
      </c>
      <c r="H14" s="3">
        <v>5.0999999999999997E-2</v>
      </c>
      <c r="I14" s="3">
        <v>5.0999999999999997E-2</v>
      </c>
      <c r="J14" s="3">
        <v>0.05</v>
      </c>
      <c r="K14" s="3">
        <v>0.127</v>
      </c>
      <c r="L14" s="3">
        <v>0.115</v>
      </c>
      <c r="M14" s="3">
        <v>0.19800000000000001</v>
      </c>
      <c r="N14" s="4">
        <v>562</v>
      </c>
    </row>
    <row r="15" spans="1:14" x14ac:dyDescent="0.25">
      <c r="A15" s="2" t="s">
        <v>3</v>
      </c>
      <c r="B15" s="3">
        <v>3.9E-2</v>
      </c>
      <c r="C15" s="3">
        <v>3.7999999999999999E-2</v>
      </c>
      <c r="D15" s="3">
        <v>3.7999999999999999E-2</v>
      </c>
      <c r="E15" s="3">
        <v>4.4999999999999998E-2</v>
      </c>
      <c r="F15" s="3">
        <v>4.5999999999999999E-2</v>
      </c>
      <c r="G15" s="3">
        <v>4.5999999999999999E-2</v>
      </c>
      <c r="H15" s="3">
        <v>5.0999999999999997E-2</v>
      </c>
      <c r="I15" s="3">
        <v>0.05</v>
      </c>
      <c r="J15" s="3">
        <v>0.05</v>
      </c>
      <c r="K15" s="3">
        <v>0.98699999999999999</v>
      </c>
      <c r="L15" s="3">
        <v>0.96699999999999997</v>
      </c>
      <c r="M15" s="3">
        <v>0.879</v>
      </c>
      <c r="N15" s="4">
        <v>562</v>
      </c>
    </row>
    <row r="16" spans="1:14" x14ac:dyDescent="0.25">
      <c r="A16" s="2" t="s">
        <v>4</v>
      </c>
      <c r="B16" s="3">
        <v>0.18099999999999999</v>
      </c>
      <c r="C16" s="3">
        <v>0.17899999999999999</v>
      </c>
      <c r="D16" s="3">
        <v>0.187</v>
      </c>
      <c r="E16" s="3">
        <v>9.9000000000000005E-2</v>
      </c>
      <c r="F16" s="3">
        <v>9.8000000000000004E-2</v>
      </c>
      <c r="G16" s="3">
        <v>9.6000000000000002E-2</v>
      </c>
      <c r="H16" s="3">
        <v>0.13400000000000001</v>
      </c>
      <c r="I16" s="3">
        <v>0.127</v>
      </c>
      <c r="J16" s="3">
        <v>0.13100000000000001</v>
      </c>
      <c r="K16" s="3">
        <v>1.1120000000000001</v>
      </c>
      <c r="L16" s="3">
        <v>1.1679999999999999</v>
      </c>
      <c r="M16" s="3">
        <v>1.1930000000000001</v>
      </c>
      <c r="N16" s="4">
        <v>562</v>
      </c>
    </row>
    <row r="17" spans="1:14" x14ac:dyDescent="0.25">
      <c r="A17" s="2" t="s">
        <v>5</v>
      </c>
      <c r="B17" s="3">
        <v>6.2E-2</v>
      </c>
      <c r="C17" s="3">
        <v>6.3E-2</v>
      </c>
      <c r="D17" s="3">
        <v>6.3E-2</v>
      </c>
      <c r="E17" s="3">
        <v>0.1</v>
      </c>
      <c r="F17" s="3">
        <v>9.9000000000000005E-2</v>
      </c>
      <c r="G17" s="3">
        <v>0.10100000000000001</v>
      </c>
      <c r="H17" s="3">
        <v>0.20899999999999999</v>
      </c>
      <c r="I17" s="3">
        <v>0.19</v>
      </c>
      <c r="J17" s="3">
        <v>0.214</v>
      </c>
      <c r="K17" s="3">
        <v>0.13900000000000001</v>
      </c>
      <c r="L17" s="3">
        <v>0.13500000000000001</v>
      </c>
      <c r="M17" s="3">
        <v>0.14099999999999999</v>
      </c>
      <c r="N17" s="4">
        <v>562</v>
      </c>
    </row>
    <row r="18" spans="1:14" x14ac:dyDescent="0.25">
      <c r="A18" s="2" t="s">
        <v>6</v>
      </c>
      <c r="B18" s="3">
        <v>3.9E-2</v>
      </c>
      <c r="C18" s="3">
        <v>0.04</v>
      </c>
      <c r="D18" s="3">
        <v>0.04</v>
      </c>
      <c r="E18" s="3">
        <v>0.11700000000000001</v>
      </c>
      <c r="F18" s="3">
        <v>0.113</v>
      </c>
      <c r="G18" s="3">
        <v>0.113</v>
      </c>
      <c r="H18" s="3">
        <v>0.10199999999999999</v>
      </c>
      <c r="I18" s="3">
        <v>9.9000000000000005E-2</v>
      </c>
      <c r="J18" s="3">
        <v>9.7000000000000003E-2</v>
      </c>
      <c r="K18" s="3">
        <v>4.1000000000000002E-2</v>
      </c>
      <c r="L18" s="3">
        <v>4.2999999999999997E-2</v>
      </c>
      <c r="M18" s="3">
        <v>4.7E-2</v>
      </c>
      <c r="N18" s="4">
        <v>562</v>
      </c>
    </row>
    <row r="19" spans="1:14" x14ac:dyDescent="0.25">
      <c r="A19" s="2" t="s">
        <v>7</v>
      </c>
      <c r="B19" s="3">
        <v>3.7999999999999999E-2</v>
      </c>
      <c r="C19" s="3">
        <v>3.7999999999999999E-2</v>
      </c>
      <c r="D19" s="3">
        <v>3.7999999999999999E-2</v>
      </c>
      <c r="E19" s="3">
        <v>9.6000000000000002E-2</v>
      </c>
      <c r="F19" s="3">
        <v>9.4E-2</v>
      </c>
      <c r="G19" s="3">
        <v>9.4E-2</v>
      </c>
      <c r="H19" s="3">
        <v>7.0000000000000007E-2</v>
      </c>
      <c r="I19" s="3">
        <v>6.9000000000000006E-2</v>
      </c>
      <c r="J19" s="3">
        <v>6.9000000000000006E-2</v>
      </c>
      <c r="K19" s="3">
        <v>4.2000000000000003E-2</v>
      </c>
      <c r="L19" s="3">
        <v>4.2000000000000003E-2</v>
      </c>
      <c r="M19" s="3">
        <v>4.2000000000000003E-2</v>
      </c>
      <c r="N19" s="4">
        <v>562</v>
      </c>
    </row>
    <row r="21" spans="1:14" x14ac:dyDescent="0.25">
      <c r="B21">
        <f>AVERAGE(B2:D2)</f>
        <v>0.21966666666666668</v>
      </c>
      <c r="C21">
        <f>AVERAGE(B12:D12)</f>
        <v>0.33533333333333332</v>
      </c>
      <c r="D21">
        <f>C21-B21</f>
        <v>0.11566666666666664</v>
      </c>
      <c r="E21">
        <f>AVERAGE(E2:G2)</f>
        <v>6.0666666666666667E-2</v>
      </c>
      <c r="F21">
        <f>AVERAGE(E12:G12)</f>
        <v>0.39799999999999996</v>
      </c>
      <c r="G21">
        <f>F21-E21</f>
        <v>0.33733333333333332</v>
      </c>
      <c r="H21">
        <f>AVERAGE(H2:J2)</f>
        <v>3.9E-2</v>
      </c>
      <c r="I21">
        <f>AVERAGE(H12:J12)</f>
        <v>4.5000000000000005E-2</v>
      </c>
      <c r="J21">
        <f>I21-H21</f>
        <v>6.0000000000000053E-3</v>
      </c>
      <c r="K21">
        <f>AVERAGE(K2:M2)</f>
        <v>4.2000000000000003E-2</v>
      </c>
      <c r="L21">
        <f>AVERAGE(K12:M12)</f>
        <v>6.3333333333333339E-2</v>
      </c>
      <c r="M21">
        <f>L21-K21</f>
        <v>2.1333333333333336E-2</v>
      </c>
    </row>
    <row r="22" spans="1:14" x14ac:dyDescent="0.25">
      <c r="B22">
        <f>AVERAGE(B3:D3)</f>
        <v>6.0333333333333329E-2</v>
      </c>
      <c r="C22">
        <f>AVERAGE(B13:D13)</f>
        <v>8.0333333333333326E-2</v>
      </c>
      <c r="D22">
        <f t="shared" ref="D22:D28" si="0">C22-B22</f>
        <v>1.9999999999999997E-2</v>
      </c>
      <c r="E22">
        <f>AVERAGE(E3:G3)</f>
        <v>4.7333333333333338E-2</v>
      </c>
      <c r="F22">
        <f>AVERAGE(E13:G13)</f>
        <v>0.15433333333333332</v>
      </c>
      <c r="G22">
        <f t="shared" ref="G22:G28" si="1">F22-E22</f>
        <v>0.10699999999999998</v>
      </c>
      <c r="H22">
        <f>AVERAGE(H3:J3)</f>
        <v>0.29366666666666669</v>
      </c>
      <c r="I22">
        <f>AVERAGE(H13:J13)</f>
        <v>0.29499999999999998</v>
      </c>
      <c r="J22">
        <f t="shared" ref="J22:J28" si="2">I22-H22</f>
        <v>1.3333333333332975E-3</v>
      </c>
      <c r="K22">
        <f>AVERAGE(K3:M3)</f>
        <v>0.18366666666666664</v>
      </c>
      <c r="L22">
        <f>AVERAGE(K13:M13)</f>
        <v>0.17466666666666666</v>
      </c>
      <c r="M22">
        <f t="shared" ref="M22:M28" si="3">L22-K22</f>
        <v>-8.9999999999999802E-3</v>
      </c>
    </row>
    <row r="23" spans="1:14" x14ac:dyDescent="0.25">
      <c r="B23">
        <f>AVERAGE(B4:D4)</f>
        <v>3.9E-2</v>
      </c>
      <c r="C23">
        <f>AVERAGE(B14:D14)</f>
        <v>4.1333333333333333E-2</v>
      </c>
      <c r="D23">
        <f t="shared" si="0"/>
        <v>2.3333333333333331E-3</v>
      </c>
      <c r="E23">
        <f>AVERAGE(E4:G4)</f>
        <v>5.2999999999999999E-2</v>
      </c>
      <c r="F23">
        <f>AVERAGE(E14:G14)</f>
        <v>0.55066666666666675</v>
      </c>
      <c r="G23">
        <f t="shared" si="1"/>
        <v>0.49766666666666676</v>
      </c>
      <c r="H23">
        <f>AVERAGE(H4:J4)</f>
        <v>4.5666666666666668E-2</v>
      </c>
      <c r="I23">
        <f>AVERAGE(H14:J14)</f>
        <v>5.0666666666666665E-2</v>
      </c>
      <c r="J23">
        <f t="shared" si="2"/>
        <v>4.9999999999999975E-3</v>
      </c>
      <c r="K23">
        <f>AVERAGE(K4:M4)</f>
        <v>4.2000000000000003E-2</v>
      </c>
      <c r="L23">
        <f>AVERAGE(K14:M14)</f>
        <v>0.14666666666666667</v>
      </c>
      <c r="M23">
        <f t="shared" si="3"/>
        <v>0.10466666666666666</v>
      </c>
    </row>
    <row r="24" spans="1:14" x14ac:dyDescent="0.25">
      <c r="B24">
        <f>AVERAGE(B5:D5)</f>
        <v>3.7666666666666661E-2</v>
      </c>
      <c r="C24">
        <f>AVERAGE(B15:D15)</f>
        <v>3.833333333333333E-2</v>
      </c>
      <c r="D24">
        <f t="shared" si="0"/>
        <v>6.6666666666666957E-4</v>
      </c>
      <c r="E24">
        <f>AVERAGE(E5:G5)</f>
        <v>4.2333333333333334E-2</v>
      </c>
      <c r="F24">
        <f>AVERAGE(E15:G15)</f>
        <v>4.5666666666666668E-2</v>
      </c>
      <c r="G24">
        <f t="shared" si="1"/>
        <v>3.333333333333334E-3</v>
      </c>
      <c r="H24">
        <f>AVERAGE(H5:J5)</f>
        <v>4.5666666666666668E-2</v>
      </c>
      <c r="I24">
        <f>AVERAGE(H15:J15)</f>
        <v>5.0333333333333341E-2</v>
      </c>
      <c r="J24">
        <f t="shared" si="2"/>
        <v>4.6666666666666731E-3</v>
      </c>
      <c r="K24">
        <f>AVERAGE(K5:M5)</f>
        <v>0.36000000000000004</v>
      </c>
      <c r="L24">
        <f>AVERAGE(K15:M15)</f>
        <v>0.94433333333333336</v>
      </c>
      <c r="M24">
        <f t="shared" si="3"/>
        <v>0.58433333333333337</v>
      </c>
    </row>
    <row r="25" spans="1:14" x14ac:dyDescent="0.25">
      <c r="B25">
        <f>AVERAGE(B6:D6)</f>
        <v>0.04</v>
      </c>
      <c r="C25">
        <f>AVERAGE(B16:D16)</f>
        <v>0.18233333333333332</v>
      </c>
      <c r="D25">
        <f t="shared" si="0"/>
        <v>0.14233333333333331</v>
      </c>
      <c r="E25">
        <f>AVERAGE(E6:G6)</f>
        <v>8.9666666666666672E-2</v>
      </c>
      <c r="F25">
        <f>AVERAGE(E16:G16)</f>
        <v>9.7666666666666679E-2</v>
      </c>
      <c r="G25">
        <f t="shared" si="1"/>
        <v>8.0000000000000071E-3</v>
      </c>
      <c r="H25">
        <f>AVERAGE(H6:J6)</f>
        <v>0.11366666666666668</v>
      </c>
      <c r="I25">
        <f>AVERAGE(H16:J16)</f>
        <v>0.13066666666666668</v>
      </c>
      <c r="J25">
        <f t="shared" si="2"/>
        <v>1.7000000000000001E-2</v>
      </c>
      <c r="K25">
        <f>AVERAGE(K6:M6)</f>
        <v>4.9999999999999996E-2</v>
      </c>
      <c r="L25">
        <f>AVERAGE(K16:M16)</f>
        <v>1.1576666666666668</v>
      </c>
      <c r="M25">
        <f t="shared" si="3"/>
        <v>1.1076666666666668</v>
      </c>
    </row>
    <row r="26" spans="1:14" x14ac:dyDescent="0.25">
      <c r="B26">
        <f>AVERAGE(B7:D7)</f>
        <v>3.7333333333333329E-2</v>
      </c>
      <c r="C26">
        <f>AVERAGE(B17:D17)</f>
        <v>6.2666666666666662E-2</v>
      </c>
      <c r="D26">
        <f t="shared" si="0"/>
        <v>2.5333333333333333E-2</v>
      </c>
      <c r="E26">
        <f>AVERAGE(E7:G7)</f>
        <v>8.7333333333333332E-2</v>
      </c>
      <c r="F26">
        <f>AVERAGE(E17:G17)</f>
        <v>0.10000000000000002</v>
      </c>
      <c r="G26">
        <f t="shared" si="1"/>
        <v>1.2666666666666687E-2</v>
      </c>
      <c r="H26">
        <f>AVERAGE(H7:J7)</f>
        <v>0.12233333333333334</v>
      </c>
      <c r="I26">
        <f>AVERAGE(H17:J17)</f>
        <v>0.20433333333333334</v>
      </c>
      <c r="J26">
        <f t="shared" si="2"/>
        <v>8.2000000000000003E-2</v>
      </c>
      <c r="K26">
        <f>AVERAGE(K7:M7)</f>
        <v>4.5000000000000005E-2</v>
      </c>
      <c r="L26">
        <f>AVERAGE(K17:M17)</f>
        <v>0.13833333333333334</v>
      </c>
      <c r="M26">
        <f t="shared" si="3"/>
        <v>9.3333333333333324E-2</v>
      </c>
    </row>
    <row r="27" spans="1:14" x14ac:dyDescent="0.25">
      <c r="B27">
        <f>AVERAGE(B8:D8)</f>
        <v>3.7333333333333329E-2</v>
      </c>
      <c r="C27">
        <f>AVERAGE(B18:D18)</f>
        <v>3.9666666666666663E-2</v>
      </c>
      <c r="D27">
        <f t="shared" si="0"/>
        <v>2.3333333333333331E-3</v>
      </c>
      <c r="E27">
        <f>AVERAGE(E8:G8)</f>
        <v>0.115</v>
      </c>
      <c r="F27">
        <f>AVERAGE(E18:G18)</f>
        <v>0.11433333333333334</v>
      </c>
      <c r="G27">
        <f t="shared" si="1"/>
        <v>-6.6666666666666263E-4</v>
      </c>
      <c r="H27">
        <f>AVERAGE(H8:J8)</f>
        <v>5.4333333333333338E-2</v>
      </c>
      <c r="I27">
        <f>AVERAGE(H18:J18)</f>
        <v>9.9333333333333343E-2</v>
      </c>
      <c r="J27">
        <f t="shared" si="2"/>
        <v>4.5000000000000005E-2</v>
      </c>
      <c r="K27">
        <f>AVERAGE(K8:M8)</f>
        <v>3.8666666666666662E-2</v>
      </c>
      <c r="L27">
        <f>AVERAGE(K18:M18)</f>
        <v>4.3666666666666666E-2</v>
      </c>
      <c r="M27">
        <f t="shared" si="3"/>
        <v>5.0000000000000044E-3</v>
      </c>
    </row>
    <row r="28" spans="1:14" x14ac:dyDescent="0.25">
      <c r="B28">
        <f>AVERAGE(B9:D9)</f>
        <v>3.7666666666666661E-2</v>
      </c>
      <c r="C28">
        <f>AVERAGE(B19:D19)</f>
        <v>3.7999999999999999E-2</v>
      </c>
      <c r="D28">
        <f t="shared" si="0"/>
        <v>3.3333333333333826E-4</v>
      </c>
      <c r="E28">
        <f>AVERAGE(E9:G9)</f>
        <v>9.2000000000000012E-2</v>
      </c>
      <c r="F28">
        <f>AVERAGE(E19:G19)</f>
        <v>9.4666666666666677E-2</v>
      </c>
      <c r="G28">
        <f t="shared" si="1"/>
        <v>2.6666666666666644E-3</v>
      </c>
      <c r="H28">
        <f>AVERAGE(H9:J9)</f>
        <v>4.2333333333333334E-2</v>
      </c>
      <c r="I28">
        <f>AVERAGE(H19:J19)</f>
        <v>6.9333333333333344E-2</v>
      </c>
      <c r="J28">
        <f t="shared" si="2"/>
        <v>2.700000000000001E-2</v>
      </c>
      <c r="K28">
        <f>AVERAGE(K9:M9)</f>
        <v>3.833333333333333E-2</v>
      </c>
      <c r="L28">
        <f>AVERAGE(K19:M19)</f>
        <v>4.2000000000000003E-2</v>
      </c>
      <c r="M28">
        <f t="shared" si="3"/>
        <v>3.6666666666666722E-3</v>
      </c>
    </row>
  </sheetData>
  <conditionalFormatting sqref="D21:D28 G21:G28 J21:J28 M21:M28">
    <cfRule type="cellIs" dxfId="4" priority="5" operator="lessThan">
      <formula>0.22</formula>
    </cfRule>
  </conditionalFormatting>
  <conditionalFormatting sqref="B21:B28 E21:E28 H21:H28 K21:K28">
    <cfRule type="cellIs" dxfId="3" priority="3" operator="lessThan">
      <formula>0.05</formula>
    </cfRule>
    <cfRule type="cellIs" dxfId="2" priority="4" operator="greaterThan">
      <formula>1</formula>
    </cfRule>
  </conditionalFormatting>
  <conditionalFormatting sqref="C21:C28 F21:F28 I21:I28 L21:L28">
    <cfRule type="cellIs" dxfId="1" priority="1" operator="greaterThan">
      <formula>0.48</formula>
    </cfRule>
    <cfRule type="cellIs" dxfId="0" priority="2" operator="lessThan">
      <formula>0.05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Giessner, Melanie</cp:lastModifiedBy>
  <dcterms:created xsi:type="dcterms:W3CDTF">2024-12-31T19:39:38Z</dcterms:created>
  <dcterms:modified xsi:type="dcterms:W3CDTF">2025-02-13T15:58:38Z</dcterms:modified>
</cp:coreProperties>
</file>