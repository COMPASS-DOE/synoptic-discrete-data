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net-my.sharepoint.com/personal/readz_si_edu1/Documents/synoptic-discrete-data/Porewater/Sulfide/Synoptic-CB/2026/202609/Raw Data/"/>
    </mc:Choice>
  </mc:AlternateContent>
  <xr:revisionPtr revIDLastSave="5" documentId="8_{22B09565-3B5A-4D01-BDBC-D33C6EA6CEC1}" xr6:coauthVersionLast="47" xr6:coauthVersionMax="47" xr10:uidLastSave="{9DE26E03-F572-44B1-A35E-6EE7B2CD3CF7}"/>
  <bookViews>
    <workbookView xWindow="-19320" yWindow="690" windowWidth="19440" windowHeight="14880" xr2:uid="{B84F83DE-0218-4696-8E8A-7694E1DFFA6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1" i="1"/>
  <c r="B16" i="1"/>
  <c r="H12" i="1"/>
  <c r="H13" i="1"/>
  <c r="H14" i="1"/>
  <c r="H15" i="1"/>
  <c r="H16" i="1"/>
  <c r="H17" i="1"/>
  <c r="H18" i="1"/>
  <c r="H11" i="1"/>
  <c r="E12" i="1"/>
  <c r="E13" i="1"/>
  <c r="E14" i="1"/>
  <c r="E15" i="1"/>
  <c r="E16" i="1"/>
  <c r="E17" i="1"/>
  <c r="E18" i="1"/>
  <c r="E11" i="1"/>
  <c r="B17" i="1"/>
  <c r="B18" i="1"/>
  <c r="B12" i="1"/>
  <c r="B13" i="1"/>
  <c r="B14" i="1"/>
  <c r="B15" i="1"/>
  <c r="B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<sst xmlns="http://schemas.openxmlformats.org/spreadsheetml/2006/main" count="8" uniqueCount="8">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</sst>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8920822397200351E-2"/>
                  <c:y val="-3.881087780694079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Sheet1!$A$11:$A$16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Sheet1!$B$11:$B$16</c:f>
              <c:numCache>
                <c:formatCode>General</c:formatCode>
                <c:ptCount val="6"/>
                <c:pt idx="0">
                  <c:v>6.2333333333333331E-2</c:v>
                </c:pt>
                <c:pt idx="1">
                  <c:v>0.18299999999999997</c:v>
                </c:pt>
                <c:pt idx="2">
                  <c:v>0.36999999999999994</c:v>
                </c:pt>
                <c:pt idx="3">
                  <c:v>0.52899999999999991</c:v>
                </c:pt>
                <c:pt idx="4">
                  <c:v>0.79099999999999993</c:v>
                </c:pt>
                <c:pt idx="5">
                  <c:v>1.5960000000000001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00-4FA9-928E-F3D7F21DF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519112"/>
        <c:axId val="339940976"/>
      </c:scatterChart>
      <c:valAx>
        <c:axId val="341519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40976"/>
        <c:crosses val="autoZero"/>
        <c:crossBetween val="midCat"/>
      </c:valAx>
      <c:valAx>
        <c:axId val="33994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19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19</xdr:row>
      <xdr:rowOff>61912</xdr:rowOff>
    </xdr:from>
    <xdr:to>
      <xdr:col>10</xdr:col>
      <xdr:colOff>590550</xdr:colOff>
      <xdr:row>33</xdr:row>
      <xdr:rowOff>138112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664F6-AF00-4C63-AEFB-102D9BD4E5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eadz\OneDrive%20-%20Smithsonian%20Institution\synoptic-discrete-data\Porewater\Sulfide\Synoptic-CB\2026\202609\Raw%20Data\COMPASS_H2S_Sept2026_Plate2_20261007.csv" TargetMode="External"/><Relationship Id="rId1" Type="http://schemas.openxmlformats.org/officeDocument/2006/relationships/externalLinkPath" Target="file:///C:\Users\readz\OneDrive%20-%20Smithsonian%20Institution\synoptic-discrete-data\Porewater\Sulfide\Synoptic-CB\2026\202609\Raw%20Data\COMPASS_H2S_Sept2026_Plate2_20261007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SS_H2S_Sept2026_Plate2_202"/>
    </sheetNames>
    <sheetDataSet>
      <sheetData sheetId="0">
        <row r="2">
          <cell r="B2">
            <v>6.0999999999999999E-2</v>
          </cell>
          <cell r="C2">
            <v>0.06</v>
          </cell>
          <cell r="D2">
            <v>6.6000000000000003E-2</v>
          </cell>
          <cell r="E2">
            <v>5.8999999999999997E-2</v>
          </cell>
          <cell r="F2">
            <v>5.8999999999999997E-2</v>
          </cell>
          <cell r="G2">
            <v>6.2E-2</v>
          </cell>
          <cell r="H2">
            <v>6.7000000000000004E-2</v>
          </cell>
          <cell r="I2">
            <v>6.8000000000000005E-2</v>
          </cell>
          <cell r="J2">
            <v>6.8000000000000005E-2</v>
          </cell>
          <cell r="K2">
            <v>5.7000000000000002E-2</v>
          </cell>
          <cell r="L2">
            <v>5.8999999999999997E-2</v>
          </cell>
          <cell r="M2">
            <v>6.3E-2</v>
          </cell>
        </row>
        <row r="3">
          <cell r="B3">
            <v>0.182</v>
          </cell>
          <cell r="C3">
            <v>0.19400000000000001</v>
          </cell>
          <cell r="D3">
            <v>0.17299999999999999</v>
          </cell>
          <cell r="E3">
            <v>7.4999999999999997E-2</v>
          </cell>
          <cell r="F3">
            <v>7.4999999999999997E-2</v>
          </cell>
          <cell r="G3">
            <v>7.8E-2</v>
          </cell>
          <cell r="H3">
            <v>6.4000000000000001E-2</v>
          </cell>
          <cell r="I3">
            <v>0.06</v>
          </cell>
          <cell r="J3">
            <v>6.0999999999999999E-2</v>
          </cell>
          <cell r="K3">
            <v>6.3E-2</v>
          </cell>
          <cell r="L3">
            <v>6.2E-2</v>
          </cell>
          <cell r="M3">
            <v>6.5000000000000002E-2</v>
          </cell>
        </row>
        <row r="4">
          <cell r="B4">
            <v>0.371</v>
          </cell>
          <cell r="C4">
            <v>0.34100000000000003</v>
          </cell>
          <cell r="D4">
            <v>0.39800000000000002</v>
          </cell>
          <cell r="E4">
            <v>6.4000000000000001E-2</v>
          </cell>
          <cell r="F4">
            <v>6.3E-2</v>
          </cell>
          <cell r="G4">
            <v>6.2E-2</v>
          </cell>
          <cell r="H4">
            <v>7.6999999999999999E-2</v>
          </cell>
          <cell r="I4">
            <v>7.6999999999999999E-2</v>
          </cell>
          <cell r="J4">
            <v>7.9000000000000001E-2</v>
          </cell>
          <cell r="K4">
            <v>6.2E-2</v>
          </cell>
          <cell r="L4">
            <v>6.0999999999999999E-2</v>
          </cell>
          <cell r="M4">
            <v>6.5000000000000002E-2</v>
          </cell>
        </row>
        <row r="5">
          <cell r="B5">
            <v>0.56899999999999995</v>
          </cell>
          <cell r="C5">
            <v>0.51300000000000001</v>
          </cell>
          <cell r="D5">
            <v>0.505</v>
          </cell>
          <cell r="E5">
            <v>7.3999999999999996E-2</v>
          </cell>
          <cell r="F5">
            <v>7.6999999999999999E-2</v>
          </cell>
          <cell r="G5">
            <v>7.8E-2</v>
          </cell>
          <cell r="H5">
            <v>5.7000000000000002E-2</v>
          </cell>
          <cell r="I5">
            <v>6.2E-2</v>
          </cell>
          <cell r="J5">
            <v>6.4000000000000001E-2</v>
          </cell>
          <cell r="K5">
            <v>0.06</v>
          </cell>
          <cell r="L5">
            <v>6.0999999999999999E-2</v>
          </cell>
          <cell r="M5">
            <v>5.7000000000000002E-2</v>
          </cell>
        </row>
        <row r="6">
          <cell r="B6">
            <v>0.74299999999999999</v>
          </cell>
          <cell r="C6">
            <v>0.85099999999999998</v>
          </cell>
          <cell r="D6">
            <v>0.77900000000000003</v>
          </cell>
          <cell r="E6">
            <v>6.0999999999999999E-2</v>
          </cell>
          <cell r="F6">
            <v>0.06</v>
          </cell>
          <cell r="G6">
            <v>6.0999999999999999E-2</v>
          </cell>
          <cell r="H6">
            <v>6.4000000000000001E-2</v>
          </cell>
          <cell r="I6">
            <v>6.2E-2</v>
          </cell>
          <cell r="J6">
            <v>6.4000000000000001E-2</v>
          </cell>
          <cell r="K6">
            <v>6.2E-2</v>
          </cell>
          <cell r="L6">
            <v>5.8000000000000003E-2</v>
          </cell>
          <cell r="M6">
            <v>0.06</v>
          </cell>
        </row>
        <row r="7">
          <cell r="C7">
            <v>1.5980000000000001</v>
          </cell>
          <cell r="D7">
            <v>1.5940000000000001</v>
          </cell>
          <cell r="E7">
            <v>6.5000000000000002E-2</v>
          </cell>
          <cell r="F7">
            <v>5.7000000000000002E-2</v>
          </cell>
          <cell r="G7">
            <v>6.5000000000000002E-2</v>
          </cell>
          <cell r="H7">
            <v>6.5000000000000002E-2</v>
          </cell>
          <cell r="I7">
            <v>6.5000000000000002E-2</v>
          </cell>
          <cell r="J7">
            <v>6.3E-2</v>
          </cell>
          <cell r="K7">
            <v>6.0999999999999999E-2</v>
          </cell>
          <cell r="L7">
            <v>6.0999999999999999E-2</v>
          </cell>
          <cell r="M7">
            <v>5.8999999999999997E-2</v>
          </cell>
        </row>
        <row r="8">
          <cell r="B8">
            <v>1.738</v>
          </cell>
          <cell r="C8">
            <v>1.764</v>
          </cell>
          <cell r="D8">
            <v>1.599</v>
          </cell>
          <cell r="E8">
            <v>6.7000000000000004E-2</v>
          </cell>
          <cell r="F8">
            <v>7.2999999999999995E-2</v>
          </cell>
          <cell r="G8">
            <v>6.6000000000000003E-2</v>
          </cell>
          <cell r="H8">
            <v>6.6000000000000003E-2</v>
          </cell>
          <cell r="I8">
            <v>6.2E-2</v>
          </cell>
          <cell r="J8">
            <v>6.5000000000000002E-2</v>
          </cell>
          <cell r="K8">
            <v>5.7000000000000002E-2</v>
          </cell>
          <cell r="L8">
            <v>5.8000000000000003E-2</v>
          </cell>
          <cell r="M8">
            <v>6.7000000000000004E-2</v>
          </cell>
        </row>
        <row r="9">
          <cell r="B9">
            <v>1.839</v>
          </cell>
          <cell r="C9">
            <v>1.869</v>
          </cell>
          <cell r="D9">
            <v>1.7310000000000001</v>
          </cell>
          <cell r="E9">
            <v>7.0000000000000007E-2</v>
          </cell>
          <cell r="F9">
            <v>7.4999999999999997E-2</v>
          </cell>
          <cell r="G9">
            <v>6.8000000000000005E-2</v>
          </cell>
          <cell r="H9">
            <v>0.45900000000000002</v>
          </cell>
          <cell r="I9">
            <v>0.438</v>
          </cell>
          <cell r="J9">
            <v>0.36699999999999999</v>
          </cell>
          <cell r="K9">
            <v>5.8000000000000003E-2</v>
          </cell>
          <cell r="L9">
            <v>5.8999999999999997E-2</v>
          </cell>
          <cell r="M9">
            <v>6.2E-2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5EA7-D09E-425B-9946-4FF41001EF7B}">
  <dimension ref="A1:N18"/>
  <sheetViews>
    <sheetView tabSelected="1" workbookViewId="0">
      <selection activeCell="Q15" sqref="Q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>
        <v>6.0999999999999999E-2</v>
      </c>
      <c r="C2">
        <v>0.06</v>
      </c>
      <c r="D2">
        <v>6.6000000000000003E-2</v>
      </c>
      <c r="E2">
        <v>5.8999999999999997E-2</v>
      </c>
      <c r="F2">
        <v>5.8999999999999997E-2</v>
      </c>
      <c r="G2">
        <v>6.2E-2</v>
      </c>
      <c r="H2">
        <v>6.7000000000000004E-2</v>
      </c>
      <c r="I2">
        <v>6.8000000000000005E-2</v>
      </c>
      <c r="J2">
        <v>6.8000000000000005E-2</v>
      </c>
      <c r="K2">
        <v>5.7000000000000002E-2</v>
      </c>
      <c r="L2">
        <v>5.8999999999999997E-2</v>
      </c>
      <c r="M2">
        <v>6.3E-2</v>
      </c>
      <c r="N2" s="3">
        <v>670</v>
      </c>
    </row>
    <row r="3" spans="1:14" x14ac:dyDescent="0.25">
      <c r="A3" s="2" t="s">
        <v>1</v>
      </c>
      <c r="B3">
        <v>0.182</v>
      </c>
      <c r="C3">
        <v>0.19400000000000001</v>
      </c>
      <c r="D3">
        <v>0.17299999999999999</v>
      </c>
      <c r="E3">
        <v>7.4999999999999997E-2</v>
      </c>
      <c r="F3">
        <v>7.4999999999999997E-2</v>
      </c>
      <c r="G3">
        <v>7.8E-2</v>
      </c>
      <c r="H3">
        <v>6.4000000000000001E-2</v>
      </c>
      <c r="I3">
        <v>0.06</v>
      </c>
      <c r="J3">
        <v>6.0999999999999999E-2</v>
      </c>
      <c r="K3">
        <v>6.3E-2</v>
      </c>
      <c r="L3">
        <v>6.2E-2</v>
      </c>
      <c r="M3">
        <v>6.5000000000000002E-2</v>
      </c>
      <c r="N3" s="3">
        <v>670</v>
      </c>
    </row>
    <row r="4" spans="1:14" x14ac:dyDescent="0.25">
      <c r="A4" s="2" t="s">
        <v>2</v>
      </c>
      <c r="B4">
        <v>0.371</v>
      </c>
      <c r="C4">
        <v>0.34100000000000003</v>
      </c>
      <c r="D4">
        <v>0.39800000000000002</v>
      </c>
      <c r="E4">
        <v>6.4000000000000001E-2</v>
      </c>
      <c r="F4">
        <v>6.3E-2</v>
      </c>
      <c r="G4">
        <v>6.2E-2</v>
      </c>
      <c r="H4">
        <v>7.6999999999999999E-2</v>
      </c>
      <c r="I4">
        <v>7.6999999999999999E-2</v>
      </c>
      <c r="J4">
        <v>7.9000000000000001E-2</v>
      </c>
      <c r="K4">
        <v>6.2E-2</v>
      </c>
      <c r="L4">
        <v>6.0999999999999999E-2</v>
      </c>
      <c r="M4">
        <v>6.5000000000000002E-2</v>
      </c>
      <c r="N4" s="3">
        <v>670</v>
      </c>
    </row>
    <row r="5" spans="1:14" x14ac:dyDescent="0.25">
      <c r="A5" s="2" t="s">
        <v>3</v>
      </c>
      <c r="B5">
        <v>0.56899999999999995</v>
      </c>
      <c r="C5">
        <v>0.51300000000000001</v>
      </c>
      <c r="D5">
        <v>0.505</v>
      </c>
      <c r="E5">
        <v>7.3999999999999996E-2</v>
      </c>
      <c r="F5">
        <v>7.6999999999999999E-2</v>
      </c>
      <c r="G5">
        <v>7.8E-2</v>
      </c>
      <c r="H5">
        <v>5.7000000000000002E-2</v>
      </c>
      <c r="I5">
        <v>6.2E-2</v>
      </c>
      <c r="J5">
        <v>6.4000000000000001E-2</v>
      </c>
      <c r="K5">
        <v>0.06</v>
      </c>
      <c r="L5">
        <v>6.0999999999999999E-2</v>
      </c>
      <c r="M5">
        <v>5.7000000000000002E-2</v>
      </c>
      <c r="N5" s="3">
        <v>670</v>
      </c>
    </row>
    <row r="6" spans="1:14" x14ac:dyDescent="0.25">
      <c r="A6" s="2" t="s">
        <v>4</v>
      </c>
      <c r="B6">
        <v>0.74299999999999999</v>
      </c>
      <c r="C6">
        <v>0.85099999999999998</v>
      </c>
      <c r="D6">
        <v>0.77900000000000003</v>
      </c>
      <c r="E6">
        <v>6.0999999999999999E-2</v>
      </c>
      <c r="F6">
        <v>0.06</v>
      </c>
      <c r="G6">
        <v>6.0999999999999999E-2</v>
      </c>
      <c r="H6">
        <v>6.4000000000000001E-2</v>
      </c>
      <c r="I6">
        <v>6.2E-2</v>
      </c>
      <c r="J6">
        <v>6.4000000000000001E-2</v>
      </c>
      <c r="K6">
        <v>6.2E-2</v>
      </c>
      <c r="L6">
        <v>5.8000000000000003E-2</v>
      </c>
      <c r="M6">
        <v>0.06</v>
      </c>
      <c r="N6" s="3">
        <v>670</v>
      </c>
    </row>
    <row r="7" spans="1:14" x14ac:dyDescent="0.25">
      <c r="A7" s="2" t="s">
        <v>5</v>
      </c>
      <c r="B7">
        <v>1.375</v>
      </c>
      <c r="C7">
        <v>1.5980000000000001</v>
      </c>
      <c r="D7">
        <v>1.5940000000000001</v>
      </c>
      <c r="E7">
        <v>6.5000000000000002E-2</v>
      </c>
      <c r="F7">
        <v>5.7000000000000002E-2</v>
      </c>
      <c r="G7">
        <v>6.5000000000000002E-2</v>
      </c>
      <c r="H7">
        <v>6.5000000000000002E-2</v>
      </c>
      <c r="I7">
        <v>6.5000000000000002E-2</v>
      </c>
      <c r="J7">
        <v>6.3E-2</v>
      </c>
      <c r="K7">
        <v>6.0999999999999999E-2</v>
      </c>
      <c r="L7">
        <v>6.0999999999999999E-2</v>
      </c>
      <c r="M7">
        <v>5.8999999999999997E-2</v>
      </c>
      <c r="N7" s="3">
        <v>670</v>
      </c>
    </row>
    <row r="8" spans="1:14" x14ac:dyDescent="0.25">
      <c r="A8" s="2" t="s">
        <v>6</v>
      </c>
      <c r="B8">
        <v>1.738</v>
      </c>
      <c r="C8">
        <v>1.764</v>
      </c>
      <c r="D8">
        <v>1.599</v>
      </c>
      <c r="E8">
        <v>6.7000000000000004E-2</v>
      </c>
      <c r="F8">
        <v>7.2999999999999995E-2</v>
      </c>
      <c r="G8">
        <v>6.6000000000000003E-2</v>
      </c>
      <c r="H8">
        <v>6.6000000000000003E-2</v>
      </c>
      <c r="I8">
        <v>6.2E-2</v>
      </c>
      <c r="J8">
        <v>6.5000000000000002E-2</v>
      </c>
      <c r="K8">
        <v>5.7000000000000002E-2</v>
      </c>
      <c r="L8">
        <v>5.8000000000000003E-2</v>
      </c>
      <c r="M8">
        <v>6.7000000000000004E-2</v>
      </c>
      <c r="N8" s="3">
        <v>670</v>
      </c>
    </row>
    <row r="9" spans="1:14" x14ac:dyDescent="0.25">
      <c r="A9" s="2" t="s">
        <v>7</v>
      </c>
      <c r="B9">
        <v>1.839</v>
      </c>
      <c r="C9">
        <v>1.869</v>
      </c>
      <c r="D9">
        <v>1.7310000000000001</v>
      </c>
      <c r="E9">
        <v>7.0000000000000007E-2</v>
      </c>
      <c r="F9">
        <v>7.4999999999999997E-2</v>
      </c>
      <c r="G9">
        <v>6.8000000000000005E-2</v>
      </c>
      <c r="H9">
        <v>0.45900000000000002</v>
      </c>
      <c r="I9">
        <v>0.438</v>
      </c>
      <c r="J9">
        <v>0.36699999999999999</v>
      </c>
      <c r="K9">
        <v>5.8000000000000003E-2</v>
      </c>
      <c r="L9">
        <v>5.8999999999999997E-2</v>
      </c>
      <c r="M9">
        <v>6.2E-2</v>
      </c>
      <c r="N9" s="3">
        <v>670</v>
      </c>
    </row>
    <row r="11" spans="1:14" x14ac:dyDescent="0.25">
      <c r="A11">
        <v>0</v>
      </c>
      <c r="B11">
        <f>AVERAGE([1]COMPASS_H2S_Sept2026_Plate2_202!B2:D2)</f>
        <v>6.2333333333333331E-2</v>
      </c>
      <c r="E11">
        <f>AVERAGE([1]COMPASS_H2S_Sept2026_Plate2_202!E2:G2)</f>
        <v>0.06</v>
      </c>
      <c r="H11">
        <f>AVERAGE([1]COMPASS_H2S_Sept2026_Plate2_202!H2:J2)</f>
        <v>6.7666666666666667E-2</v>
      </c>
      <c r="K11">
        <f>AVERAGE([1]COMPASS_H2S_Sept2026_Plate2_202!K2:M2)</f>
        <v>5.9666666666666666E-2</v>
      </c>
    </row>
    <row r="12" spans="1:14" x14ac:dyDescent="0.25">
      <c r="A12">
        <v>5</v>
      </c>
      <c r="B12">
        <f>AVERAGE([1]COMPASS_H2S_Sept2026_Plate2_202!B3:D3)</f>
        <v>0.18299999999999997</v>
      </c>
      <c r="E12">
        <f>AVERAGE([1]COMPASS_H2S_Sept2026_Plate2_202!E3:G3)</f>
        <v>7.5999999999999998E-2</v>
      </c>
      <c r="H12">
        <f>AVERAGE([1]COMPASS_H2S_Sept2026_Plate2_202!H3:J3)</f>
        <v>6.1666666666666668E-2</v>
      </c>
      <c r="K12">
        <f>AVERAGE([1]COMPASS_H2S_Sept2026_Plate2_202!K3:M3)</f>
        <v>6.3333333333333339E-2</v>
      </c>
    </row>
    <row r="13" spans="1:14" x14ac:dyDescent="0.25">
      <c r="A13">
        <v>12.5</v>
      </c>
      <c r="B13">
        <f>AVERAGE([1]COMPASS_H2S_Sept2026_Plate2_202!B4:D4)</f>
        <v>0.36999999999999994</v>
      </c>
      <c r="E13">
        <f>AVERAGE([1]COMPASS_H2S_Sept2026_Plate2_202!E4:G4)</f>
        <v>6.3E-2</v>
      </c>
      <c r="H13">
        <f>AVERAGE([1]COMPASS_H2S_Sept2026_Plate2_202!H4:J4)</f>
        <v>7.7666666666666662E-2</v>
      </c>
      <c r="K13">
        <f>AVERAGE([1]COMPASS_H2S_Sept2026_Plate2_202!K4:M4)</f>
        <v>6.2666666666666662E-2</v>
      </c>
    </row>
    <row r="14" spans="1:14" x14ac:dyDescent="0.25">
      <c r="A14">
        <v>25</v>
      </c>
      <c r="B14">
        <f>AVERAGE([1]COMPASS_H2S_Sept2026_Plate2_202!B5:D5)</f>
        <v>0.52899999999999991</v>
      </c>
      <c r="E14">
        <f>AVERAGE([1]COMPASS_H2S_Sept2026_Plate2_202!E5:G5)</f>
        <v>7.6333333333333322E-2</v>
      </c>
      <c r="H14">
        <f>AVERAGE([1]COMPASS_H2S_Sept2026_Plate2_202!H5:J5)</f>
        <v>6.0999999999999999E-2</v>
      </c>
      <c r="K14">
        <f>AVERAGE([1]COMPASS_H2S_Sept2026_Plate2_202!K5:M5)</f>
        <v>5.9333333333333328E-2</v>
      </c>
    </row>
    <row r="15" spans="1:14" x14ac:dyDescent="0.25">
      <c r="A15">
        <v>50</v>
      </c>
      <c r="B15">
        <f>AVERAGE([1]COMPASS_H2S_Sept2026_Plate2_202!B6:D6)</f>
        <v>0.79099999999999993</v>
      </c>
      <c r="E15">
        <f>AVERAGE([1]COMPASS_H2S_Sept2026_Plate2_202!E6:G6)</f>
        <v>6.0666666666666667E-2</v>
      </c>
      <c r="H15">
        <f>AVERAGE([1]COMPASS_H2S_Sept2026_Plate2_202!H6:J6)</f>
        <v>6.3333333333333339E-2</v>
      </c>
      <c r="K15">
        <f>AVERAGE([1]COMPASS_H2S_Sept2026_Plate2_202!K6:M6)</f>
        <v>0.06</v>
      </c>
    </row>
    <row r="16" spans="1:14" x14ac:dyDescent="0.25">
      <c r="A16">
        <v>100</v>
      </c>
      <c r="B16">
        <f>AVERAGE([1]COMPASS_H2S_Sept2026_Plate2_202!C7:D7)</f>
        <v>1.5960000000000001</v>
      </c>
      <c r="E16">
        <f>AVERAGE([1]COMPASS_H2S_Sept2026_Plate2_202!E7:G7)</f>
        <v>6.2333333333333331E-2</v>
      </c>
      <c r="H16">
        <f>AVERAGE([1]COMPASS_H2S_Sept2026_Plate2_202!H7:J7)</f>
        <v>6.433333333333334E-2</v>
      </c>
      <c r="K16">
        <f>AVERAGE([1]COMPASS_H2S_Sept2026_Plate2_202!K7:M7)</f>
        <v>6.0333333333333329E-2</v>
      </c>
    </row>
    <row r="17" spans="2:11" x14ac:dyDescent="0.25">
      <c r="B17">
        <f>AVERAGE([1]COMPASS_H2S_Sept2026_Plate2_202!B8:D8)</f>
        <v>1.7003333333333333</v>
      </c>
      <c r="E17">
        <f>AVERAGE([1]COMPASS_H2S_Sept2026_Plate2_202!E8:G8)</f>
        <v>6.8666666666666668E-2</v>
      </c>
      <c r="H17">
        <f>AVERAGE([1]COMPASS_H2S_Sept2026_Plate2_202!H8:J8)</f>
        <v>6.433333333333334E-2</v>
      </c>
      <c r="K17">
        <f>AVERAGE([1]COMPASS_H2S_Sept2026_Plate2_202!K8:M8)</f>
        <v>6.0666666666666667E-2</v>
      </c>
    </row>
    <row r="18" spans="2:11" x14ac:dyDescent="0.25">
      <c r="B18">
        <f>AVERAGE([1]COMPASS_H2S_Sept2026_Plate2_202!B9:D9)</f>
        <v>1.8129999999999999</v>
      </c>
      <c r="E18">
        <f>AVERAGE([1]COMPASS_H2S_Sept2026_Plate2_202!E9:G9)</f>
        <v>7.1000000000000008E-2</v>
      </c>
      <c r="H18">
        <f>AVERAGE([1]COMPASS_H2S_Sept2026_Plate2_202!H9:J9)</f>
        <v>0.42133333333333334</v>
      </c>
      <c r="K18">
        <f>AVERAGE([1]COMPASS_H2S_Sept2026_Plate2_202!K9:M9)</f>
        <v>5.9666666666666666E-2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Read, Zoe</cp:lastModifiedBy>
  <dcterms:created xsi:type="dcterms:W3CDTF">2026-10-07T17:21:48Z</dcterms:created>
  <dcterms:modified xsi:type="dcterms:W3CDTF">2026-10-13T18:37:38Z</dcterms:modified>
</cp:coreProperties>
</file>