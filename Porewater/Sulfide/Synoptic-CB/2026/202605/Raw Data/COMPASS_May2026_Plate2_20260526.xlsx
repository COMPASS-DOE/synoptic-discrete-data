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13_ncr:1_{2EFD620B-F91A-4C58-ADE9-9249C63E718F}" xr6:coauthVersionLast="36" xr6:coauthVersionMax="36" xr10:uidLastSave="{00000000-0000-0000-0000-000000000000}"/>
  <bookViews>
    <workbookView xWindow="0" yWindow="0" windowWidth="15795" windowHeight="13590" xr2:uid="{7858CAD6-740F-4AE3-9118-6B3F993340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5" i="1" l="1"/>
  <c r="M18" i="1"/>
  <c r="M13" i="1"/>
  <c r="L12" i="1"/>
  <c r="L13" i="1"/>
  <c r="L14" i="1"/>
  <c r="L15" i="1"/>
  <c r="L16" i="1"/>
  <c r="L17" i="1"/>
  <c r="L18" i="1"/>
  <c r="L11" i="1"/>
  <c r="K15" i="1"/>
  <c r="K13" i="1"/>
  <c r="K18" i="1" l="1"/>
  <c r="K12" i="1"/>
  <c r="K14" i="1"/>
  <c r="K16" i="1"/>
  <c r="K17" i="1"/>
  <c r="K11" i="1"/>
  <c r="B15" i="1" l="1"/>
  <c r="B12" i="1"/>
  <c r="B13" i="1"/>
  <c r="B14" i="1"/>
  <c r="B16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<sst xmlns="http://schemas.openxmlformats.org/spreadsheetml/2006/main" count="8" uniqueCount="8">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</sst>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9143044619422575E-2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6.5666666666666665E-2</c:v>
                </c:pt>
                <c:pt idx="1">
                  <c:v>0.14500000000000002</c:v>
                </c:pt>
                <c:pt idx="2">
                  <c:v>0.26266666666666666</c:v>
                </c:pt>
                <c:pt idx="3">
                  <c:v>0.42166666666666669</c:v>
                </c:pt>
                <c:pt idx="4">
                  <c:v>0.88566666666666671</c:v>
                </c:pt>
                <c:pt idx="5">
                  <c:v>1.3780000000000001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24-41D1-A77D-6D637F4A6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202064"/>
        <c:axId val="427203376"/>
      </c:scatterChart>
      <c:valAx>
        <c:axId val="42720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203376"/>
        <c:crosses val="autoZero"/>
        <c:crossBetween val="midCat"/>
      </c:valAx>
      <c:valAx>
        <c:axId val="42720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202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409575</xdr:colOff>
      <xdr:row>19</xdr:row>
      <xdr:rowOff>138112</xdr:rowOff>
    </xdr:from>
    <xdr:to>
      <xdr:col>17</xdr:col>
      <xdr:colOff>104775</xdr:colOff>
      <xdr:row>34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CD0C1D-144A-4C3C-B817-B0F04547F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A4A6-E6C6-49DD-BC5A-C1D1A85B7A1C}">
  <dimension ref="A1:N18"/>
  <sheetViews>
    <sheetView tabSelected="1" workbookViewId="0">
      <selection activeCell="O15" sqref="O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6.3E-2</v>
      </c>
      <c r="C2" s="3">
        <v>6.7000000000000004E-2</v>
      </c>
      <c r="D2" s="3">
        <v>6.7000000000000004E-2</v>
      </c>
      <c r="E2" s="3">
        <v>6.5000000000000002E-2</v>
      </c>
      <c r="F2" s="3">
        <v>7.0000000000000007E-2</v>
      </c>
      <c r="G2" s="3">
        <v>6.7000000000000004E-2</v>
      </c>
      <c r="H2" s="3">
        <v>6.4000000000000001E-2</v>
      </c>
      <c r="I2" s="3">
        <v>6.0999999999999999E-2</v>
      </c>
      <c r="J2" s="3">
        <v>6.3E-2</v>
      </c>
      <c r="K2" s="3">
        <v>0.112</v>
      </c>
      <c r="L2" s="3">
        <v>9.7000000000000003E-2</v>
      </c>
      <c r="M2" s="3">
        <v>0.1</v>
      </c>
      <c r="N2" s="4">
        <v>670</v>
      </c>
    </row>
    <row r="3" spans="1:14" x14ac:dyDescent="0.25">
      <c r="A3" s="2" t="s">
        <v>1</v>
      </c>
      <c r="B3" s="3">
        <v>0.127</v>
      </c>
      <c r="C3" s="3">
        <v>0.16400000000000001</v>
      </c>
      <c r="D3" s="3">
        <v>0.14399999999999999</v>
      </c>
      <c r="E3" s="3">
        <v>6.6000000000000003E-2</v>
      </c>
      <c r="F3" s="3">
        <v>6.8000000000000005E-2</v>
      </c>
      <c r="G3" s="3">
        <v>6.8000000000000005E-2</v>
      </c>
      <c r="H3" s="3">
        <v>5.6000000000000001E-2</v>
      </c>
      <c r="I3" s="3">
        <v>5.3999999999999999E-2</v>
      </c>
      <c r="J3" s="3">
        <v>5.3999999999999999E-2</v>
      </c>
      <c r="K3" s="3">
        <v>6.0999999999999999E-2</v>
      </c>
      <c r="L3" s="3">
        <v>6.7000000000000004E-2</v>
      </c>
      <c r="M3" s="3">
        <v>5.8999999999999997E-2</v>
      </c>
      <c r="N3" s="4">
        <v>670</v>
      </c>
    </row>
    <row r="4" spans="1:14" x14ac:dyDescent="0.25">
      <c r="A4" s="2" t="s">
        <v>2</v>
      </c>
      <c r="B4" s="3">
        <v>0.23599999999999999</v>
      </c>
      <c r="C4" s="3">
        <v>0.28499999999999998</v>
      </c>
      <c r="D4" s="3">
        <v>0.26700000000000002</v>
      </c>
      <c r="E4" s="3">
        <v>6.4000000000000001E-2</v>
      </c>
      <c r="F4" s="3">
        <v>6.3E-2</v>
      </c>
      <c r="G4" s="3">
        <v>6.6000000000000003E-2</v>
      </c>
      <c r="H4" s="3">
        <v>6.4000000000000001E-2</v>
      </c>
      <c r="I4" s="3">
        <v>6.0999999999999999E-2</v>
      </c>
      <c r="J4" s="3">
        <v>6.4000000000000001E-2</v>
      </c>
      <c r="K4" s="3">
        <v>8.5999999999999993E-2</v>
      </c>
      <c r="L4" s="3">
        <v>9.0999999999999998E-2</v>
      </c>
      <c r="M4" s="3">
        <v>0.09</v>
      </c>
      <c r="N4" s="4">
        <v>670</v>
      </c>
    </row>
    <row r="5" spans="1:14" x14ac:dyDescent="0.25">
      <c r="A5" s="2" t="s">
        <v>3</v>
      </c>
      <c r="B5" s="3">
        <v>0.45500000000000002</v>
      </c>
      <c r="C5" s="3">
        <v>0.44</v>
      </c>
      <c r="D5" s="3">
        <v>0.37</v>
      </c>
      <c r="E5" s="3">
        <v>7.3999999999999996E-2</v>
      </c>
      <c r="F5" s="3">
        <v>7.6999999999999999E-2</v>
      </c>
      <c r="G5" s="3">
        <v>7.2999999999999995E-2</v>
      </c>
      <c r="H5" s="3">
        <v>9.8000000000000004E-2</v>
      </c>
      <c r="I5" s="3">
        <v>9.2999999999999999E-2</v>
      </c>
      <c r="J5" s="3">
        <v>0.09</v>
      </c>
      <c r="K5" s="3">
        <v>0.16200000000000001</v>
      </c>
      <c r="L5" s="3">
        <v>0.16800000000000001</v>
      </c>
      <c r="M5" s="3">
        <v>0.16200000000000001</v>
      </c>
      <c r="N5" s="4">
        <v>670</v>
      </c>
    </row>
    <row r="6" spans="1:14" x14ac:dyDescent="0.25">
      <c r="A6" s="2" t="s">
        <v>4</v>
      </c>
      <c r="B6" s="3">
        <v>0.96499999999999997</v>
      </c>
      <c r="C6" s="3">
        <v>0.78800000000000003</v>
      </c>
      <c r="D6" s="3">
        <v>0.90400000000000003</v>
      </c>
      <c r="E6" s="3">
        <v>6.6000000000000003E-2</v>
      </c>
      <c r="F6" s="3">
        <v>6.4000000000000001E-2</v>
      </c>
      <c r="G6" s="3">
        <v>7.0000000000000007E-2</v>
      </c>
      <c r="H6" s="3">
        <v>8.8999999999999996E-2</v>
      </c>
      <c r="I6" s="3">
        <v>9.7000000000000003E-2</v>
      </c>
      <c r="J6" s="3">
        <v>0.09</v>
      </c>
      <c r="K6" s="3">
        <v>6.0999999999999999E-2</v>
      </c>
      <c r="L6" s="3">
        <v>6.2E-2</v>
      </c>
      <c r="M6" s="3">
        <v>6.9000000000000006E-2</v>
      </c>
      <c r="N6" s="4">
        <v>670</v>
      </c>
    </row>
    <row r="7" spans="1:14" x14ac:dyDescent="0.25">
      <c r="A7" s="2" t="s">
        <v>5</v>
      </c>
      <c r="B7" s="3">
        <v>1.456</v>
      </c>
      <c r="C7" s="3">
        <v>1.367</v>
      </c>
      <c r="D7" s="3">
        <v>1.3109999999999999</v>
      </c>
      <c r="E7" s="3">
        <v>6.5000000000000002E-2</v>
      </c>
      <c r="F7" s="3">
        <v>6.8000000000000005E-2</v>
      </c>
      <c r="G7" s="3">
        <v>6.7000000000000004E-2</v>
      </c>
      <c r="H7" s="3">
        <v>9.8000000000000004E-2</v>
      </c>
      <c r="I7" s="3">
        <v>0.104</v>
      </c>
      <c r="J7" s="3">
        <v>9.0999999999999998E-2</v>
      </c>
      <c r="K7" s="3">
        <v>0.14899999999999999</v>
      </c>
      <c r="L7" s="3">
        <v>0.156</v>
      </c>
      <c r="M7" s="3">
        <v>0.16200000000000001</v>
      </c>
      <c r="N7" s="4">
        <v>670</v>
      </c>
    </row>
    <row r="8" spans="1:14" x14ac:dyDescent="0.25">
      <c r="A8" s="2" t="s">
        <v>6</v>
      </c>
      <c r="B8" s="3">
        <v>1.26</v>
      </c>
      <c r="C8" s="3">
        <v>1.4</v>
      </c>
      <c r="D8" s="3">
        <v>1.462</v>
      </c>
      <c r="E8" s="3">
        <v>6.3E-2</v>
      </c>
      <c r="F8" s="3">
        <v>6.0999999999999999E-2</v>
      </c>
      <c r="G8" s="3">
        <v>6.3E-2</v>
      </c>
      <c r="H8" s="3">
        <v>6.8000000000000005E-2</v>
      </c>
      <c r="I8" s="3">
        <v>6.8000000000000005E-2</v>
      </c>
      <c r="J8" s="3">
        <v>6.5000000000000002E-2</v>
      </c>
      <c r="K8" s="3">
        <v>0.218</v>
      </c>
      <c r="L8" s="3">
        <v>0.20300000000000001</v>
      </c>
      <c r="M8" s="3">
        <v>0.217</v>
      </c>
      <c r="N8" s="4">
        <v>670</v>
      </c>
    </row>
    <row r="9" spans="1:14" x14ac:dyDescent="0.25">
      <c r="A9" s="2" t="s">
        <v>7</v>
      </c>
      <c r="B9" s="3">
        <v>1.3080000000000001</v>
      </c>
      <c r="C9" s="3">
        <v>1.3160000000000001</v>
      </c>
      <c r="D9" s="3">
        <v>1.2549999999999999</v>
      </c>
      <c r="E9" s="3">
        <v>7.0000000000000007E-2</v>
      </c>
      <c r="F9" s="3">
        <v>6.8000000000000005E-2</v>
      </c>
      <c r="G9" s="3">
        <v>6.9000000000000006E-2</v>
      </c>
      <c r="H9" s="3">
        <v>0.42099999999999999</v>
      </c>
      <c r="I9" s="3">
        <v>0.372</v>
      </c>
      <c r="J9" s="3">
        <v>0.56000000000000005</v>
      </c>
      <c r="K9" s="3">
        <v>9.5000000000000001E-2</v>
      </c>
      <c r="L9" s="3">
        <v>9.6000000000000002E-2</v>
      </c>
      <c r="M9" s="3">
        <v>9.7000000000000003E-2</v>
      </c>
      <c r="N9" s="4">
        <v>670</v>
      </c>
    </row>
    <row r="11" spans="1:14" x14ac:dyDescent="0.25">
      <c r="A11">
        <v>0</v>
      </c>
      <c r="B11">
        <f>AVERAGE(B2:D2)</f>
        <v>6.5666666666666665E-2</v>
      </c>
      <c r="K11">
        <f>AVERAGE(K2:M2)</f>
        <v>0.10300000000000002</v>
      </c>
      <c r="L11">
        <f>K11*50</f>
        <v>5.1500000000000012</v>
      </c>
    </row>
    <row r="12" spans="1:14" x14ac:dyDescent="0.25">
      <c r="A12">
        <v>5</v>
      </c>
      <c r="B12">
        <f t="shared" ref="B12:B16" si="0">AVERAGE(B3:D3)</f>
        <v>0.14500000000000002</v>
      </c>
      <c r="K12">
        <f t="shared" ref="K12:K17" si="1">AVERAGE(K3:M3)</f>
        <v>6.2333333333333331E-2</v>
      </c>
      <c r="L12">
        <f t="shared" ref="L12:L18" si="2">K12*50</f>
        <v>3.1166666666666667</v>
      </c>
    </row>
    <row r="13" spans="1:14" x14ac:dyDescent="0.25">
      <c r="A13">
        <v>12.5</v>
      </c>
      <c r="B13">
        <f t="shared" si="0"/>
        <v>0.26266666666666666</v>
      </c>
      <c r="K13" s="5">
        <f>AVERAGE(K4:M4)</f>
        <v>8.900000000000001E-2</v>
      </c>
      <c r="L13" s="5">
        <f t="shared" si="2"/>
        <v>4.45</v>
      </c>
      <c r="M13">
        <f>L13/10</f>
        <v>0.44500000000000001</v>
      </c>
    </row>
    <row r="14" spans="1:14" x14ac:dyDescent="0.25">
      <c r="A14">
        <v>25</v>
      </c>
      <c r="B14">
        <f t="shared" si="0"/>
        <v>0.42166666666666669</v>
      </c>
      <c r="K14">
        <f t="shared" si="1"/>
        <v>0.16400000000000001</v>
      </c>
      <c r="L14">
        <f t="shared" si="2"/>
        <v>8.2000000000000011</v>
      </c>
    </row>
    <row r="15" spans="1:14" x14ac:dyDescent="0.25">
      <c r="A15">
        <v>50</v>
      </c>
      <c r="B15">
        <f>AVERAGE(B6:D6)</f>
        <v>0.88566666666666671</v>
      </c>
      <c r="K15" s="5">
        <f>AVERAGE(K6:M6)</f>
        <v>6.4000000000000001E-2</v>
      </c>
      <c r="L15" s="5">
        <f t="shared" si="2"/>
        <v>3.2</v>
      </c>
      <c r="M15">
        <f t="shared" ref="M14:M18" si="3">L15/10</f>
        <v>0.32</v>
      </c>
    </row>
    <row r="16" spans="1:14" x14ac:dyDescent="0.25">
      <c r="A16">
        <v>100</v>
      </c>
      <c r="B16">
        <f t="shared" si="0"/>
        <v>1.3780000000000001</v>
      </c>
      <c r="K16">
        <f t="shared" si="1"/>
        <v>0.15566666666666665</v>
      </c>
      <c r="L16">
        <f t="shared" si="2"/>
        <v>7.7833333333333323</v>
      </c>
    </row>
    <row r="17" spans="11:13" x14ac:dyDescent="0.25">
      <c r="K17">
        <f t="shared" si="1"/>
        <v>0.21266666666666667</v>
      </c>
      <c r="L17">
        <f t="shared" si="2"/>
        <v>10.633333333333333</v>
      </c>
    </row>
    <row r="18" spans="11:13" x14ac:dyDescent="0.25">
      <c r="K18" s="5">
        <f>AVERAGE(K9:M9)</f>
        <v>9.6000000000000016E-2</v>
      </c>
      <c r="L18" s="5">
        <f t="shared" si="2"/>
        <v>4.8000000000000007</v>
      </c>
      <c r="M18">
        <f t="shared" si="3"/>
        <v>0.48000000000000009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2026-05-26T17:05:24Z</dcterms:created>
  <dcterms:modified xsi:type="dcterms:W3CDTF">2026-05-26T18:35:23Z</dcterms:modified>
</cp:coreProperties>
</file>