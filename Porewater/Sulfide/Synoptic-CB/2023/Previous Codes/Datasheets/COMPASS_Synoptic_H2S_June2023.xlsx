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MicroPlate Data\Sulfide\Data\2023\"/>
    </mc:Choice>
  </mc:AlternateContent>
  <xr:revisionPtr revIDLastSave="0" documentId="13_ncr:1_{80CA0C87-D400-415C-846F-FAF501655905}" xr6:coauthVersionLast="47" xr6:coauthVersionMax="47" xr10:uidLastSave="{00000000-0000-0000-0000-000000000000}"/>
  <bookViews>
    <workbookView xWindow="-120" yWindow="-120" windowWidth="21840" windowHeight="13140" firstSheet="1" activeTab="2" xr2:uid="{BF831AA3-3F95-4241-AB64-B94B62509FB6}"/>
  </bookViews>
  <sheets>
    <sheet name="STDs Chk" sheetId="1" r:id="rId1"/>
    <sheet name="STDs1" sheetId="2" r:id="rId2"/>
    <sheet name="Plate1" sheetId="3" r:id="rId3"/>
    <sheet name="Plate2" sheetId="4" r:id="rId4"/>
    <sheet name="Plate3" sheetId="5" r:id="rId5"/>
    <sheet name="Plate4" sheetId="6" r:id="rId6"/>
    <sheet name="Plate5" sheetId="7" r:id="rId7"/>
    <sheet name="Plate6" sheetId="8" r:id="rId8"/>
    <sheet name="Plate7" sheetId="9" r:id="rId9"/>
    <sheet name="Plate8" sheetId="10" r:id="rId10"/>
    <sheet name="Plate9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6" i="1" l="1"/>
  <c r="B84" i="1"/>
  <c r="B74" i="1"/>
  <c r="B61" i="1"/>
  <c r="B110" i="1"/>
  <c r="B109" i="1"/>
  <c r="B108" i="1"/>
  <c r="B107" i="1"/>
  <c r="B106" i="1"/>
  <c r="B105" i="1"/>
  <c r="B104" i="1"/>
  <c r="B103" i="1"/>
  <c r="B99" i="1"/>
  <c r="B98" i="1"/>
  <c r="B97" i="1"/>
  <c r="B95" i="1"/>
  <c r="B94" i="1"/>
  <c r="B93" i="1"/>
  <c r="B92" i="1"/>
  <c r="B88" i="1"/>
  <c r="B87" i="1"/>
  <c r="B86" i="1"/>
  <c r="B85" i="1"/>
  <c r="B83" i="1"/>
  <c r="B82" i="1"/>
  <c r="B81" i="1"/>
  <c r="B39" i="1"/>
  <c r="B40" i="1"/>
  <c r="B27" i="1"/>
  <c r="B30" i="1"/>
  <c r="B29" i="1"/>
  <c r="B17" i="1"/>
  <c r="B18" i="1"/>
  <c r="C18" i="1"/>
  <c r="B19" i="1"/>
  <c r="B8" i="1"/>
  <c r="B7" i="1"/>
  <c r="B5" i="1"/>
  <c r="B77" i="1"/>
  <c r="B76" i="1"/>
  <c r="B75" i="1"/>
  <c r="B73" i="1"/>
  <c r="B72" i="1"/>
  <c r="B71" i="1"/>
  <c r="B70" i="1"/>
  <c r="B65" i="1"/>
  <c r="B64" i="1"/>
  <c r="B63" i="1"/>
  <c r="B62" i="1"/>
  <c r="B60" i="1"/>
  <c r="B59" i="1"/>
  <c r="B58" i="1"/>
  <c r="B54" i="1"/>
  <c r="B53" i="1"/>
  <c r="B52" i="1"/>
  <c r="B51" i="1"/>
  <c r="B50" i="1"/>
  <c r="B49" i="1"/>
  <c r="B48" i="1"/>
  <c r="B47" i="1"/>
  <c r="B43" i="1"/>
  <c r="B42" i="1"/>
  <c r="B41" i="1"/>
  <c r="B38" i="1"/>
  <c r="B37" i="1"/>
  <c r="B36" i="1"/>
  <c r="B32" i="1"/>
  <c r="B31" i="1"/>
  <c r="B28" i="1"/>
  <c r="B26" i="1"/>
  <c r="B25" i="1"/>
  <c r="B21" i="1"/>
  <c r="B20" i="1"/>
  <c r="B16" i="1"/>
  <c r="B15" i="1"/>
  <c r="B14" i="1"/>
  <c r="B10" i="1"/>
  <c r="B9" i="1"/>
  <c r="B6" i="1"/>
  <c r="B4" i="1"/>
  <c r="B3" i="1"/>
</calcChain>
</file>

<file path=xl/sharedStrings.xml><?xml version="1.0" encoding="utf-8"?>
<sst xmlns="http://schemas.openxmlformats.org/spreadsheetml/2006/main" count="1176" uniqueCount="221">
  <si>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</si>
  <si>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</si>
  <si>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</si>
  <si>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</si>
  <si>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</si>
  <si>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</si>
  <si>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</si>
  <si>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</si>
  <si>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</si>
  <si>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</si>
  <si>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Plate 7</t>
  </si>
  <si>
    <t>A</t>
  </si>
  <si>
    <t>B</t>
  </si>
  <si>
    <t>C</t>
  </si>
  <si>
    <t>D</t>
  </si>
  <si>
    <t>E</t>
  </si>
  <si>
    <t>F</t>
  </si>
  <si>
    <t>G</t>
  </si>
  <si>
    <t>H</t>
  </si>
  <si>
    <t>STDs1</t>
  </si>
  <si>
    <t>STDS 1</t>
  </si>
  <si>
    <t>Plate 1</t>
  </si>
  <si>
    <t>Plate 8</t>
  </si>
  <si>
    <t>Plate 9</t>
  </si>
  <si>
    <t>Plate5</t>
  </si>
  <si>
    <t>Plate6</t>
  </si>
  <si>
    <t>Plate7</t>
  </si>
  <si>
    <t>Plate8</t>
  </si>
  <si>
    <t>Plate9</t>
  </si>
  <si>
    <t>IDs</t>
  </si>
  <si>
    <t>Std 0</t>
  </si>
  <si>
    <t>MSM_RHZ_TR_SF4</t>
  </si>
  <si>
    <t>MSM_RHZ_WC_Col1</t>
  </si>
  <si>
    <t>MSM_WC_LysA_10cm</t>
  </si>
  <si>
    <t>Std 1</t>
  </si>
  <si>
    <t>MSM_RHZ_TR_SF5</t>
  </si>
  <si>
    <t>MSM_RHZ_WC_Col2</t>
  </si>
  <si>
    <t>GCW_WC_LysB_10cm</t>
  </si>
  <si>
    <t>Std 2</t>
  </si>
  <si>
    <t>MSM_RHZ_TR_SF6</t>
  </si>
  <si>
    <t>MSM_RHZ_WC_Col3</t>
  </si>
  <si>
    <t>GCW_WC_LysB_20cm</t>
  </si>
  <si>
    <t>Std 3</t>
  </si>
  <si>
    <t>MSM_RHZ_TR_SF7</t>
  </si>
  <si>
    <t>MSM_RHZ_WC_Col4</t>
  </si>
  <si>
    <t>GCW_WC_LysC_10cm</t>
  </si>
  <si>
    <t>Std 4</t>
  </si>
  <si>
    <t>MSM_RHZ_TR_SF8</t>
  </si>
  <si>
    <t>MSM_RHZ_WC_Col5</t>
  </si>
  <si>
    <t>GCW_WC_LysC_20cm</t>
  </si>
  <si>
    <t>Std 5</t>
  </si>
  <si>
    <t>MSM_RHZ_WC_SipA</t>
  </si>
  <si>
    <t>NA</t>
  </si>
  <si>
    <t>MC: 10ppt</t>
  </si>
  <si>
    <t>MSM_RHZ_WC_SipB</t>
  </si>
  <si>
    <t>GWI_TR_LysB_20cm</t>
  </si>
  <si>
    <t>MC: 20ppt</t>
  </si>
  <si>
    <t>MSM_RHZ_WC_SipC</t>
  </si>
  <si>
    <t>Dilutions</t>
  </si>
  <si>
    <t>GCW_UP_LysA_20cm</t>
  </si>
  <si>
    <t>GCW_UP_LysC_20cm</t>
  </si>
  <si>
    <t>GCW_UP_LysA_45cm</t>
  </si>
  <si>
    <t>GCW_UP_LysB_10cm</t>
  </si>
  <si>
    <t>GCW_UP_LysC_10cm</t>
  </si>
  <si>
    <t>GCW_TR_LysA_10cm</t>
  </si>
  <si>
    <t>GCW_TR_LysA_20cm</t>
  </si>
  <si>
    <t>GCW_TR_LysA_45cm</t>
  </si>
  <si>
    <t>GCW_TR_LysB_10cm</t>
  </si>
  <si>
    <t>GCW_TR_LysB_20cm</t>
  </si>
  <si>
    <t>GCW_TR_LysB_45cm</t>
  </si>
  <si>
    <t>GCW_TR_LysC_10cm</t>
  </si>
  <si>
    <t>GCW_TR_LysC_20cm</t>
  </si>
  <si>
    <t>GCW_TR_LysC_20cm_dup</t>
  </si>
  <si>
    <t>GCW_TR_LysC_45cm</t>
  </si>
  <si>
    <t>GCW_TR_LysC_45cm_spk</t>
  </si>
  <si>
    <t>GCW_WC_LysA_10cm</t>
  </si>
  <si>
    <t>GCW_WC_LysA_20cm</t>
  </si>
  <si>
    <t>GCW_WC_LysB_45cm</t>
  </si>
  <si>
    <t>GCW_WC_LysA_45cm</t>
  </si>
  <si>
    <t>GCW_WC_LYsC_20cm</t>
  </si>
  <si>
    <t>GCW_WC_LysC_45cm</t>
  </si>
  <si>
    <t>GCW_SW_A</t>
  </si>
  <si>
    <t>GCW_SW_B</t>
  </si>
  <si>
    <t>GCW_SW_C</t>
  </si>
  <si>
    <t>MSM_UP_LysA_20cm</t>
  </si>
  <si>
    <t>MSM_UP_LysA_45cm</t>
  </si>
  <si>
    <t>MSM_UP_LysB_10cm</t>
  </si>
  <si>
    <t>MSM_UP_LysB_10cm_dup</t>
  </si>
  <si>
    <t>MSM_TR_LysB_10cm</t>
  </si>
  <si>
    <t>MSM_TR_LysB_20cm</t>
  </si>
  <si>
    <t>MSM_TR_LysC_20cm</t>
  </si>
  <si>
    <t>MSM_TR_LysB_45cm</t>
  </si>
  <si>
    <t>MSM_TR_LysC_10cm</t>
  </si>
  <si>
    <t>MSM_TR_LysC_45cm</t>
  </si>
  <si>
    <t>MSM_WC_LysA_20cm</t>
  </si>
  <si>
    <t>MSM_WC_LysA_45cm</t>
  </si>
  <si>
    <t>MSM_WC_LysB_45cm</t>
  </si>
  <si>
    <t>MSM_WC_LysC_45cm</t>
  </si>
  <si>
    <t>MSM_WC_LysB_10cm</t>
  </si>
  <si>
    <t>MSM_WC_LysB_20cm</t>
  </si>
  <si>
    <t>MSM_WC_LysC_10cm</t>
  </si>
  <si>
    <t>MSM_WC_LysC_20cm</t>
  </si>
  <si>
    <t>MSM_SW_A</t>
  </si>
  <si>
    <t>MSM_SW_B</t>
  </si>
  <si>
    <t>MSM_SW_C</t>
  </si>
  <si>
    <t>SWH_UPCON_LysA_10cm</t>
  </si>
  <si>
    <t>SWH_UPCON_LysA_20cm</t>
  </si>
  <si>
    <t>SWH_UPCON_LysA_45cm</t>
  </si>
  <si>
    <t>SWH_UPCON_LysA_45cm_dup</t>
  </si>
  <si>
    <t>SWH_UPCON_LysB_10cm</t>
  </si>
  <si>
    <t>SWH_UPCON_LysB_10cm_spk</t>
  </si>
  <si>
    <t>SHW_UPCON_LysB_20cm</t>
  </si>
  <si>
    <t>SWH_UPCON_LysB_45cm</t>
  </si>
  <si>
    <t>SWH_UPCON_LysC_10cm</t>
  </si>
  <si>
    <t>SWH_UPCON_LysC_20cm</t>
  </si>
  <si>
    <t>SWH_UPCON_LysC_45cm</t>
  </si>
  <si>
    <t>SWH_UP_LysA_10cm</t>
  </si>
  <si>
    <t>SWH_UP_LysA_20cm</t>
  </si>
  <si>
    <t>SWH_UP_LysA_45cm</t>
  </si>
  <si>
    <t>SWH_UP_LysB_10cm</t>
  </si>
  <si>
    <t>SWH_UP_LysB_20cm</t>
  </si>
  <si>
    <t>SWH_UP_LysB_45cm</t>
  </si>
  <si>
    <t>SWH_UP_LysC_10cm</t>
  </si>
  <si>
    <t>SWH_UP_LysC_20cm</t>
  </si>
  <si>
    <t>SWH_UP_LysC_45cm</t>
  </si>
  <si>
    <t>SWH_TR_LysA_10cm</t>
  </si>
  <si>
    <t>SWH_TR_LysA_20cm</t>
  </si>
  <si>
    <t>SWH_TR_LysA_45cm</t>
  </si>
  <si>
    <t>SWH_TR_LysB_45cm</t>
  </si>
  <si>
    <t>SWH_TR_LysC_45cm</t>
  </si>
  <si>
    <t>SWH_TR_LysB_10cm</t>
  </si>
  <si>
    <t>SWH_TR_LysB_20cm</t>
  </si>
  <si>
    <t>SWH_TR_LysC_10cm</t>
  </si>
  <si>
    <t>SWH_TR_LysC_20cm</t>
  </si>
  <si>
    <t>GWI_UP_LysA_10cm</t>
  </si>
  <si>
    <t>GWI_UP_LysA_20cm</t>
  </si>
  <si>
    <t>GWI_UP_LysB_20cm</t>
  </si>
  <si>
    <t>GWI_UP_LysC_20cm</t>
  </si>
  <si>
    <t>GWI_UP_LysA_45cm</t>
  </si>
  <si>
    <t>GWI_UP_LysB_10cm</t>
  </si>
  <si>
    <t>GWI_UP_LysB_45cm</t>
  </si>
  <si>
    <t>GWI_UP_LysB_45cm_dup</t>
  </si>
  <si>
    <t>GWI_UP_LysC_10cm</t>
  </si>
  <si>
    <t>GWI_UP_LysC_10cm_spk</t>
  </si>
  <si>
    <t>GWI_UP_LysC_45cm</t>
  </si>
  <si>
    <t>GWI_TR_LysA_10cm</t>
  </si>
  <si>
    <t>GWI_TR_LysA_20cm</t>
  </si>
  <si>
    <t>GWI_TR_LysA_45cm</t>
  </si>
  <si>
    <t>GWI_TR_LysB_10cm</t>
  </si>
  <si>
    <t>GWI_TR_LysB_45cm</t>
  </si>
  <si>
    <t>GWI_TR_LysC_10cm</t>
  </si>
  <si>
    <t>GWI_TR_LysC_20cm</t>
  </si>
  <si>
    <t>GWI_TR_LysC_45cm</t>
  </si>
  <si>
    <t>GWI_WC_LysA_10cm</t>
  </si>
  <si>
    <t>GWI_WC_LysA_20cm</t>
  </si>
  <si>
    <t>GWI_WC_LysA_20cm_dup</t>
  </si>
  <si>
    <t>GWI_WC_LysA_45cm</t>
  </si>
  <si>
    <t>GWI_WC_LysA_45cm_spk</t>
  </si>
  <si>
    <t>GWI_WC_LysB_10cm</t>
  </si>
  <si>
    <t>GWI_WC_LysB_20cm</t>
  </si>
  <si>
    <t>GWI_WC_LysB_45cm</t>
  </si>
  <si>
    <t>GWI_WC_LysC_10cm</t>
  </si>
  <si>
    <t>GWI_WC_LysC_20cm</t>
  </si>
  <si>
    <t>GWI_SW_A</t>
  </si>
  <si>
    <t>GWI_SW_B</t>
  </si>
  <si>
    <t>GWI_SW_C</t>
  </si>
  <si>
    <t>MSM_RHZ_UP_SF6</t>
  </si>
  <si>
    <t>MSM_RHZ_TR_SF1</t>
  </si>
  <si>
    <t>MSM_RHZ_TR_SF2</t>
  </si>
  <si>
    <t>MSM_RHZ_TR_SF3</t>
  </si>
  <si>
    <t>MSM_RHZ_WC_Col4_dup</t>
  </si>
  <si>
    <t>MSM_RHZ_WC_Col5_spk</t>
  </si>
  <si>
    <t>MSM_PPR_UP_1</t>
  </si>
  <si>
    <t>MSM_PPR_UP_2</t>
  </si>
  <si>
    <t>MSM_PPR_UP_3</t>
  </si>
  <si>
    <t>MSM_PPR_UP_4</t>
  </si>
  <si>
    <t>MSM_PPR_UP_5</t>
  </si>
  <si>
    <t>MSM_PPR_UP_6</t>
  </si>
  <si>
    <t>MSM_PPR_UP_7</t>
  </si>
  <si>
    <t>MSM_PPR_UP_8</t>
  </si>
  <si>
    <t>MSM_PPR_UP_9</t>
  </si>
  <si>
    <t>MSM_PPR_UP_10</t>
  </si>
  <si>
    <t>MSM_PPR_UP_11</t>
  </si>
  <si>
    <t>MSM_PPR_UP_12</t>
  </si>
  <si>
    <t>MSM_PPR_TR_1</t>
  </si>
  <si>
    <t>MSM_PPR_TR_2</t>
  </si>
  <si>
    <t>MSM_PPR_TR_3</t>
  </si>
  <si>
    <t>MSM_PPR_TR_4</t>
  </si>
  <si>
    <t>MSM_PPR_TR_5</t>
  </si>
  <si>
    <t>MSM_PPR_TR_6</t>
  </si>
  <si>
    <t>MSM_PPR_TR_6_dup</t>
  </si>
  <si>
    <t>MSM_PPR_TR_7</t>
  </si>
  <si>
    <t>MSM_PPR_TR_7_spk</t>
  </si>
  <si>
    <t>MSM_PPR_TR_8</t>
  </si>
  <si>
    <t>MSM_PPR_TR_9</t>
  </si>
  <si>
    <t>MSM_PPR_TR_10</t>
  </si>
  <si>
    <t>MSM_PPR_TR_11</t>
  </si>
  <si>
    <t>MSM_PPR_TR_12</t>
  </si>
  <si>
    <t>MSM_PPR_WC_1</t>
  </si>
  <si>
    <t>MSM_PPR_WC_2</t>
  </si>
  <si>
    <t>MSM_PPR_WC_3</t>
  </si>
  <si>
    <t>MSM_PPR_WC_4</t>
  </si>
  <si>
    <t>MSM_PPR_WC_5</t>
  </si>
  <si>
    <t>MSM_PPR_WC_6</t>
  </si>
  <si>
    <t>MSM_PPR_WC_7</t>
  </si>
  <si>
    <t>MSM_PPR_WC_8</t>
  </si>
  <si>
    <t>MSM_PPR_WC_9</t>
  </si>
  <si>
    <t>MSM_PPR_WC_10</t>
  </si>
  <si>
    <t>MSM_PPR_WC_11</t>
  </si>
  <si>
    <t>MSM_PPR_WC_12</t>
  </si>
  <si>
    <t>GCW_WC_LysB_10cm_dup</t>
  </si>
  <si>
    <t>GCW_WC_LysB_20cm_spk</t>
  </si>
  <si>
    <t>MSM_UP_LysC_10cm</t>
  </si>
  <si>
    <t>MSM_UP_LysC_20cm</t>
  </si>
  <si>
    <t>MSM_UP_LysC_45cm</t>
  </si>
  <si>
    <t>MSM_TR_LysA_10cm</t>
  </si>
  <si>
    <t>MSM_TR_LysA_20cm</t>
  </si>
  <si>
    <t>MSM_UP_LysB_45cm</t>
  </si>
  <si>
    <t>MSM_TR_LysA_45cm</t>
  </si>
  <si>
    <t>MSM_RHZ_WC_Col3_dup</t>
  </si>
  <si>
    <t>MSM_RHZ_WC_Col4_spk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</si>
</sst>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Chk'!$A$3:$A$10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'STDs Chk'!$B$3:$B$10</c:f>
              <c:numCache>
                <c:formatCode>General</c:formatCode>
                <c:ptCount val="8"/>
                <c:pt idx="0">
                  <c:v>4.9000000000000009E-2</c:v>
                </c:pt>
                <c:pt idx="1">
                  <c:v>0.14966666666666664</c:v>
                </c:pt>
                <c:pt idx="2">
                  <c:v>0.28749999999999998</c:v>
                </c:pt>
                <c:pt idx="3">
                  <c:v>0.434</c:v>
                </c:pt>
                <c:pt idx="4">
                  <c:v>0.84450000000000003</c:v>
                </c:pt>
                <c:pt idx="5">
                  <c:v>1.38</c:v>
                </c:pt>
                <c:pt idx="6">
                  <c:v>1.2750000000000001</c:v>
                </c:pt>
                <c:pt idx="7">
                  <c:v>1.2849999999999999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4-43D3-A3A0-0B09700A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340048"/>
        <c:axId val="430339688"/>
      </c:scatterChart>
      <c:valAx>
        <c:axId val="43034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39688"/>
        <c:crosses val="autoZero"/>
        <c:crossBetween val="midCat"/>
      </c:valAx>
      <c:valAx>
        <c:axId val="43033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4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Chk'!$A$14:$A$21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'STDs Chk'!$B$14:$B$21</c:f>
              <c:numCache>
                <c:formatCode>General</c:formatCode>
                <c:ptCount val="8"/>
                <c:pt idx="0">
                  <c:v>4.7333333333333338E-2</c:v>
                </c:pt>
                <c:pt idx="1">
                  <c:v>0.13833333333333334</c:v>
                </c:pt>
                <c:pt idx="2">
                  <c:v>0.26666666666666666</c:v>
                </c:pt>
                <c:pt idx="3">
                  <c:v>0.53500000000000003</c:v>
                </c:pt>
                <c:pt idx="4">
                  <c:v>0.84824999999999995</c:v>
                </c:pt>
                <c:pt idx="5">
                  <c:v>1.476</c:v>
                </c:pt>
                <c:pt idx="6">
                  <c:v>1.4606666666666666</c:v>
                </c:pt>
                <c:pt idx="7">
                  <c:v>1.3760000000000001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D-4411-8732-E7E9093FD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78880"/>
        <c:axId val="517679240"/>
      </c:scatterChart>
      <c:valAx>
        <c:axId val="51767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79240"/>
        <c:crosses val="autoZero"/>
        <c:crossBetween val="midCat"/>
      </c:valAx>
      <c:valAx>
        <c:axId val="51767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7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435210197265488"/>
                  <c:y val="-4.13108158234482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'STDs Chk'!$B$25:$B$32</c:f>
              <c:numCache>
                <c:formatCode>General</c:formatCode>
                <c:ptCount val="8"/>
                <c:pt idx="0">
                  <c:v>5.1333333333333342E-2</c:v>
                </c:pt>
                <c:pt idx="1">
                  <c:v>0.13066666666666668</c:v>
                </c:pt>
                <c:pt idx="2">
                  <c:v>0.245</c:v>
                </c:pt>
                <c:pt idx="3">
                  <c:v>0.51300000000000001</c:v>
                </c:pt>
                <c:pt idx="4">
                  <c:v>0.88749999999999996</c:v>
                </c:pt>
                <c:pt idx="5">
                  <c:v>1.4144999999999999</c:v>
                </c:pt>
                <c:pt idx="6">
                  <c:v>1.2853333333333332</c:v>
                </c:pt>
                <c:pt idx="7">
                  <c:v>1.3613333333333333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AE-4C17-ACD1-EBA56E91B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350936"/>
        <c:axId val="346348416"/>
      </c:scatterChart>
      <c:valAx>
        <c:axId val="34635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48416"/>
        <c:crosses val="autoZero"/>
        <c:crossBetween val="midCat"/>
      </c:valAx>
      <c:valAx>
        <c:axId val="3463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50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'STDs Chk'!$B$36:$B$43</c:f>
              <c:numCache>
                <c:formatCode>General</c:formatCode>
                <c:ptCount val="8"/>
                <c:pt idx="0">
                  <c:v>4.9000000000000009E-2</c:v>
                </c:pt>
                <c:pt idx="1">
                  <c:v>0.14466666666666667</c:v>
                </c:pt>
                <c:pt idx="2">
                  <c:v>0.26133333333333336</c:v>
                </c:pt>
                <c:pt idx="3">
                  <c:v>0.49199999999999999</c:v>
                </c:pt>
                <c:pt idx="4">
                  <c:v>0.88900000000000001</c:v>
                </c:pt>
                <c:pt idx="5">
                  <c:v>1.4496666666666667</c:v>
                </c:pt>
                <c:pt idx="6">
                  <c:v>1.5103333333333333</c:v>
                </c:pt>
                <c:pt idx="7">
                  <c:v>1.3795000000000002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8-4907-BB04-08896ED69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40680"/>
        <c:axId val="589639960"/>
      </c:scatterChart>
      <c:valAx>
        <c:axId val="58964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39960"/>
        <c:crosses val="autoZero"/>
        <c:crossBetween val="midCat"/>
      </c:valAx>
      <c:valAx>
        <c:axId val="58963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40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'STDs Chk'!$B$47:$B$54</c:f>
              <c:numCache>
                <c:formatCode>General</c:formatCode>
                <c:ptCount val="8"/>
                <c:pt idx="0">
                  <c:v>5.1999999999999998E-2</c:v>
                </c:pt>
                <c:pt idx="1">
                  <c:v>0.15533333333333332</c:v>
                </c:pt>
                <c:pt idx="2">
                  <c:v>0.22999999999999998</c:v>
                </c:pt>
                <c:pt idx="3">
                  <c:v>0.53433333333333344</c:v>
                </c:pt>
                <c:pt idx="4">
                  <c:v>0.76200000000000001</c:v>
                </c:pt>
                <c:pt idx="5">
                  <c:v>1.5283333333333333</c:v>
                </c:pt>
                <c:pt idx="6">
                  <c:v>1.3893333333333333</c:v>
                </c:pt>
                <c:pt idx="7">
                  <c:v>1.3949999999999998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8-4368-B092-A8DD992EE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088328"/>
        <c:axId val="432086888"/>
      </c:scatterChart>
      <c:valAx>
        <c:axId val="432088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86888"/>
        <c:crosses val="autoZero"/>
        <c:crossBetween val="midCat"/>
      </c:valAx>
      <c:valAx>
        <c:axId val="43208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88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Chk'!$A$58:$A$65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'STDs Chk'!$B$58:$B$65</c:f>
              <c:numCache>
                <c:formatCode>General</c:formatCode>
                <c:ptCount val="8"/>
                <c:pt idx="0">
                  <c:v>5.0666666666666665E-2</c:v>
                </c:pt>
                <c:pt idx="1">
                  <c:v>0.11599999999999999</c:v>
                </c:pt>
                <c:pt idx="2">
                  <c:v>0.26633333333333337</c:v>
                </c:pt>
                <c:pt idx="3">
                  <c:v>0.55349999999999999</c:v>
                </c:pt>
                <c:pt idx="4">
                  <c:v>0.78533333333333333</c:v>
                </c:pt>
                <c:pt idx="5">
                  <c:v>1.3009999999999999</c:v>
                </c:pt>
                <c:pt idx="6">
                  <c:v>1.4206666666666665</c:v>
                </c:pt>
                <c:pt idx="7">
                  <c:v>1.3566666666666667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C9-49A4-8AF9-C6D2A962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50672"/>
        <c:axId val="593249592"/>
      </c:scatterChart>
      <c:valAx>
        <c:axId val="59325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49592"/>
        <c:crosses val="autoZero"/>
        <c:crossBetween val="midCat"/>
      </c:valAx>
      <c:valAx>
        <c:axId val="59324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5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263701210508435"/>
                  <c:y val="-5.542723829299623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Chk'!$A$70:$A$77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'STDs Chk'!$B$70:$B$77</c:f>
              <c:numCache>
                <c:formatCode>General</c:formatCode>
                <c:ptCount val="8"/>
                <c:pt idx="0">
                  <c:v>5.000000000000001E-2</c:v>
                </c:pt>
                <c:pt idx="1">
                  <c:v>0.13666666666666666</c:v>
                </c:pt>
                <c:pt idx="2">
                  <c:v>0.22999999999999998</c:v>
                </c:pt>
                <c:pt idx="3">
                  <c:v>0.5003333333333333</c:v>
                </c:pt>
                <c:pt idx="4">
                  <c:v>0.83799999999999997</c:v>
                </c:pt>
                <c:pt idx="5">
                  <c:v>1.3879999999999999</c:v>
                </c:pt>
                <c:pt idx="6">
                  <c:v>1.3713333333333333</c:v>
                </c:pt>
                <c:pt idx="7">
                  <c:v>1.3666666666666665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C5-4D84-920D-64A79B44C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570680"/>
        <c:axId val="348570320"/>
      </c:scatterChart>
      <c:valAx>
        <c:axId val="34857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570320"/>
        <c:crosses val="autoZero"/>
        <c:crossBetween val="midCat"/>
      </c:valAx>
      <c:valAx>
        <c:axId val="34857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570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Chk'!$B$80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3053494779796686E-2"/>
                  <c:y val="0.223307828385772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Chk'!$A$81:$A$86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'STDs Chk'!$B$81:$B$86</c:f>
              <c:numCache>
                <c:formatCode>General</c:formatCode>
                <c:ptCount val="6"/>
                <c:pt idx="0">
                  <c:v>5.0666666666666665E-2</c:v>
                </c:pt>
                <c:pt idx="1">
                  <c:v>0.12266666666666666</c:v>
                </c:pt>
                <c:pt idx="2">
                  <c:v>0.25699999999999995</c:v>
                </c:pt>
                <c:pt idx="3">
                  <c:v>0.46450000000000002</c:v>
                </c:pt>
                <c:pt idx="4">
                  <c:v>0.81366666666666665</c:v>
                </c:pt>
                <c:pt idx="5">
                  <c:v>1.4053333333333333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E-4AFF-8774-F3D22D972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813176"/>
        <c:axId val="588813536"/>
      </c:scatterChart>
      <c:valAx>
        <c:axId val="588813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813536"/>
        <c:crosses val="autoZero"/>
        <c:crossBetween val="midCat"/>
      </c:valAx>
      <c:valAx>
        <c:axId val="58881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813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Chk'!$B$91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Chk'!$A$92:$A$99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'STDs Chk'!$B$92:$B$99</c:f>
              <c:numCache>
                <c:formatCode>General</c:formatCode>
                <c:ptCount val="8"/>
                <c:pt idx="0">
                  <c:v>5.000000000000001E-2</c:v>
                </c:pt>
                <c:pt idx="1">
                  <c:v>0.12833333333333333</c:v>
                </c:pt>
                <c:pt idx="2">
                  <c:v>0.215</c:v>
                </c:pt>
                <c:pt idx="3">
                  <c:v>0.44466666666666671</c:v>
                </c:pt>
                <c:pt idx="4">
                  <c:v>0.72499999999999998</c:v>
                </c:pt>
                <c:pt idx="5">
                  <c:v>1.2030000000000001</c:v>
                </c:pt>
                <c:pt idx="6">
                  <c:v>1.3886666666666667</c:v>
                </c:pt>
                <c:pt idx="7">
                  <c:v>1.2533333333333334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0-49B1-AC86-8BA163FB6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82168"/>
        <c:axId val="594689728"/>
      </c:scatterChart>
      <c:valAx>
        <c:axId val="594682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89728"/>
        <c:crosses val="autoZero"/>
        <c:crossBetween val="midCat"/>
      </c:valAx>
      <c:valAx>
        <c:axId val="5946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82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Chk'!$B$102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Chk'!$A$103:$A$110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'STDs Chk'!$B$103:$B$110</c:f>
              <c:numCache>
                <c:formatCode>General</c:formatCode>
                <c:ptCount val="8"/>
                <c:pt idx="0">
                  <c:v>4.9666666666666671E-2</c:v>
                </c:pt>
                <c:pt idx="1">
                  <c:v>0.12933333333333333</c:v>
                </c:pt>
                <c:pt idx="2">
                  <c:v>0.24733333333333332</c:v>
                </c:pt>
                <c:pt idx="3">
                  <c:v>0.46133333333333332</c:v>
                </c:pt>
                <c:pt idx="4">
                  <c:v>0.81466666666666665</c:v>
                </c:pt>
                <c:pt idx="5">
                  <c:v>1.3310000000000002</c:v>
                </c:pt>
                <c:pt idx="6">
                  <c:v>1.4153333333333336</c:v>
                </c:pt>
                <c:pt idx="7">
                  <c:v>1.3663333333333334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12-44D7-BF69-EF1EF5055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797736"/>
        <c:axId val="523797016"/>
      </c:scatterChart>
      <c:valAx>
        <c:axId val="52379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97016"/>
        <c:crosses val="autoZero"/>
        <c:crossBetween val="midCat"/>
      </c:valAx>
      <c:valAx>
        <c:axId val="52379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97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447676</xdr:colOff>
      <xdr:row>0</xdr:row>
      <xdr:rowOff>119062</xdr:rowOff>
    </xdr:from>
    <xdr:to>
      <xdr:col>11</xdr:col>
      <xdr:colOff>542926</xdr:colOff>
      <xdr:row>11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B5802A-3314-5B52-33E6-61121B039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400050</xdr:colOff>
      <xdr:row>12</xdr:row>
      <xdr:rowOff>80962</xdr:rowOff>
    </xdr:from>
    <xdr:to>
      <xdr:col>11</xdr:col>
      <xdr:colOff>371475</xdr:colOff>
      <xdr:row>22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CA0875-3D95-A99D-26F9-08A1DCC6C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361950</xdr:colOff>
      <xdr:row>23</xdr:row>
      <xdr:rowOff>114300</xdr:rowOff>
    </xdr:from>
    <xdr:to>
      <xdr:col>12</xdr:col>
      <xdr:colOff>9525</xdr:colOff>
      <xdr:row>33</xdr:row>
      <xdr:rowOff>4762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9AB4E1E-B11D-003A-5902-F61ADAC0E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309563</xdr:colOff>
      <xdr:row>33</xdr:row>
      <xdr:rowOff>138112</xdr:rowOff>
    </xdr:from>
    <xdr:to>
      <xdr:col>11</xdr:col>
      <xdr:colOff>304801</xdr:colOff>
      <xdr:row>44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18E09ED-1EE5-5C37-51C4-3A1849CA0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361949</xdr:colOff>
      <xdr:row>45</xdr:row>
      <xdr:rowOff>47625</xdr:rowOff>
    </xdr:from>
    <xdr:to>
      <xdr:col>11</xdr:col>
      <xdr:colOff>228600</xdr:colOff>
      <xdr:row>54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5974DE2-E7BB-180D-366C-40D01289F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490538</xdr:colOff>
      <xdr:row>56</xdr:row>
      <xdr:rowOff>71437</xdr:rowOff>
    </xdr:from>
    <xdr:to>
      <xdr:col>11</xdr:col>
      <xdr:colOff>28576</xdr:colOff>
      <xdr:row>66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72241AB-400B-B772-9020-CEEC9582D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233361</xdr:colOff>
      <xdr:row>67</xdr:row>
      <xdr:rowOff>33336</xdr:rowOff>
    </xdr:from>
    <xdr:to>
      <xdr:col>11</xdr:col>
      <xdr:colOff>104774</xdr:colOff>
      <xdr:row>77</xdr:row>
      <xdr:rowOff>190499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3E5E978-3F6E-428E-C669-DB394284F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385762</xdr:colOff>
      <xdr:row>78</xdr:row>
      <xdr:rowOff>157162</xdr:rowOff>
    </xdr:from>
    <xdr:to>
      <xdr:col>11</xdr:col>
      <xdr:colOff>314325</xdr:colOff>
      <xdr:row>88</xdr:row>
      <xdr:rowOff>123825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AEEB2E9-4667-8058-94EC-B6F496AE2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190500</xdr:colOff>
      <xdr:row>89</xdr:row>
      <xdr:rowOff>166687</xdr:rowOff>
    </xdr:from>
    <xdr:to>
      <xdr:col>12</xdr:col>
      <xdr:colOff>0</xdr:colOff>
      <xdr:row>101</xdr:row>
      <xdr:rowOff>19050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2189472-9B7A-1F9F-5E78-8E5D9C92C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457200</xdr:colOff>
      <xdr:row>101</xdr:row>
      <xdr:rowOff>176212</xdr:rowOff>
    </xdr:from>
    <xdr:to>
      <xdr:col>11</xdr:col>
      <xdr:colOff>161925</xdr:colOff>
      <xdr:row>112</xdr:row>
      <xdr:rowOff>161926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21CE923-BDC4-27EF-ADCB-A029B2241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83E2-9B1C-4390-8C1E-9FFE6C552B58}">
  <dimension ref="A1:E110"/>
  <sheetViews>
    <sheetView topLeftCell="A88" workbookViewId="0">
      <selection activeCell="A102" sqref="A102:B110"/>
    </sheetView>
  </sheetViews>
  <sheetFormatPr defaultRowHeight="15" x14ac:dyDescent="0.25"/>
  <sheetData>
    <row r="1" spans="1:5" x14ac:dyDescent="0.25">
      <c r="A1" s="1" t="s">
        <v>20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0</v>
      </c>
      <c r="B3">
        <f>AVERAGE(C3:E3)</f>
        <v>4.9000000000000009E-2</v>
      </c>
      <c r="C3" s="2">
        <v>4.9000000000000002E-2</v>
      </c>
      <c r="D3" s="2">
        <v>0.05</v>
      </c>
      <c r="E3" s="2">
        <v>4.8000000000000001E-2</v>
      </c>
    </row>
    <row r="4" spans="1:5" x14ac:dyDescent="0.25">
      <c r="A4">
        <v>5</v>
      </c>
      <c r="B4">
        <f t="shared" ref="B4:B10" si="0">AVERAGE(C4:E4)</f>
        <v>0.14966666666666664</v>
      </c>
      <c r="C4" s="2">
        <v>0.155</v>
      </c>
      <c r="D4" s="2">
        <v>0.18099999999999999</v>
      </c>
      <c r="E4" s="2">
        <v>0.113</v>
      </c>
    </row>
    <row r="5" spans="1:5" x14ac:dyDescent="0.25">
      <c r="A5">
        <v>12.5</v>
      </c>
      <c r="B5">
        <f>AVERAGE(C5:D5)</f>
        <v>0.28749999999999998</v>
      </c>
      <c r="C5" s="2">
        <v>0.27100000000000002</v>
      </c>
      <c r="D5" s="2">
        <v>0.30399999999999999</v>
      </c>
      <c r="E5" s="6">
        <v>0.47</v>
      </c>
    </row>
    <row r="6" spans="1:5" x14ac:dyDescent="0.25">
      <c r="A6">
        <v>25</v>
      </c>
      <c r="B6">
        <f t="shared" si="0"/>
        <v>0.434</v>
      </c>
      <c r="C6" s="2">
        <v>0.46300000000000002</v>
      </c>
      <c r="D6" s="2">
        <v>0.377</v>
      </c>
      <c r="E6" s="2">
        <v>0.46200000000000002</v>
      </c>
    </row>
    <row r="7" spans="1:5" x14ac:dyDescent="0.25">
      <c r="A7">
        <v>50</v>
      </c>
      <c r="B7">
        <f>AVERAGE(C7:D7)</f>
        <v>0.84450000000000003</v>
      </c>
      <c r="C7" s="2">
        <v>0.85599999999999998</v>
      </c>
      <c r="D7" s="2">
        <v>0.83299999999999996</v>
      </c>
      <c r="E7" s="6">
        <v>0.73099999999999998</v>
      </c>
    </row>
    <row r="8" spans="1:5" x14ac:dyDescent="0.25">
      <c r="A8">
        <v>100</v>
      </c>
      <c r="B8">
        <f>AVERAGE(C8:D8)</f>
        <v>1.38</v>
      </c>
      <c r="C8" s="2">
        <v>1.3740000000000001</v>
      </c>
      <c r="D8" s="2">
        <v>1.3859999999999999</v>
      </c>
      <c r="E8" s="6">
        <v>1.649</v>
      </c>
    </row>
    <row r="9" spans="1:5" x14ac:dyDescent="0.25">
      <c r="A9">
        <v>100</v>
      </c>
      <c r="B9">
        <f t="shared" si="0"/>
        <v>1.2750000000000001</v>
      </c>
      <c r="C9" s="2">
        <v>1.2809999999999999</v>
      </c>
      <c r="D9" s="2">
        <v>1.262</v>
      </c>
      <c r="E9" s="2">
        <v>1.282</v>
      </c>
    </row>
    <row r="10" spans="1:5" x14ac:dyDescent="0.25">
      <c r="A10">
        <v>100</v>
      </c>
      <c r="B10">
        <f t="shared" si="0"/>
        <v>1.2849999999999999</v>
      </c>
      <c r="C10" s="2">
        <v>1.23</v>
      </c>
      <c r="D10" s="2">
        <v>1.3440000000000001</v>
      </c>
      <c r="E10" s="2">
        <v>1.2809999999999999</v>
      </c>
    </row>
    <row r="12" spans="1:5" x14ac:dyDescent="0.25">
      <c r="A12" s="1" t="s">
        <v>21</v>
      </c>
    </row>
    <row r="13" spans="1: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25">
      <c r="A14">
        <v>0</v>
      </c>
      <c r="B14">
        <f>AVERAGE(C14:E14)</f>
        <v>4.7333333333333338E-2</v>
      </c>
      <c r="C14">
        <v>4.5999999999999999E-2</v>
      </c>
      <c r="D14">
        <v>4.8000000000000001E-2</v>
      </c>
      <c r="E14">
        <v>4.8000000000000001E-2</v>
      </c>
    </row>
    <row r="15" spans="1:5" x14ac:dyDescent="0.25">
      <c r="A15">
        <v>5</v>
      </c>
      <c r="B15">
        <f t="shared" ref="B15:B21" si="1">AVERAGE(C15:E15)</f>
        <v>0.13833333333333334</v>
      </c>
      <c r="C15">
        <v>0.127</v>
      </c>
      <c r="D15">
        <v>0.14000000000000001</v>
      </c>
      <c r="E15">
        <v>0.14799999999999999</v>
      </c>
    </row>
    <row r="16" spans="1:5" x14ac:dyDescent="0.25">
      <c r="A16">
        <v>12.5</v>
      </c>
      <c r="B16">
        <f t="shared" si="1"/>
        <v>0.26666666666666666</v>
      </c>
      <c r="C16">
        <v>0.26600000000000001</v>
      </c>
      <c r="D16">
        <v>0.3</v>
      </c>
      <c r="E16">
        <v>0.23400000000000001</v>
      </c>
    </row>
    <row r="17" spans="1:5" x14ac:dyDescent="0.25">
      <c r="A17">
        <v>25</v>
      </c>
      <c r="B17">
        <f>AVERAGE(D17:E17)</f>
        <v>0.53500000000000003</v>
      </c>
      <c r="C17">
        <v>0.65300000000000002</v>
      </c>
      <c r="D17">
        <v>0.55600000000000005</v>
      </c>
      <c r="E17">
        <v>0.51400000000000001</v>
      </c>
    </row>
    <row r="18" spans="1:5" x14ac:dyDescent="0.25">
      <c r="A18">
        <v>50</v>
      </c>
      <c r="B18">
        <f>AVERAGE(C18:D18)</f>
        <v>0.84824999999999995</v>
      </c>
      <c r="C18">
        <f>AVERAGE(D18:F18)</f>
        <v>0.88149999999999995</v>
      </c>
      <c r="D18">
        <v>0.81499999999999995</v>
      </c>
      <c r="E18">
        <v>0.94799999999999995</v>
      </c>
    </row>
    <row r="19" spans="1:5" x14ac:dyDescent="0.25">
      <c r="A19">
        <v>100</v>
      </c>
      <c r="B19">
        <f>AVERAGE(C19:D19)</f>
        <v>1.476</v>
      </c>
      <c r="C19">
        <v>1.486</v>
      </c>
      <c r="D19">
        <v>1.466</v>
      </c>
      <c r="E19">
        <v>1.764</v>
      </c>
    </row>
    <row r="20" spans="1:5" x14ac:dyDescent="0.25">
      <c r="A20">
        <v>100</v>
      </c>
      <c r="B20">
        <f t="shared" si="1"/>
        <v>1.4606666666666666</v>
      </c>
      <c r="C20">
        <v>1.4379999999999999</v>
      </c>
      <c r="D20">
        <v>1.355</v>
      </c>
      <c r="E20">
        <v>1.589</v>
      </c>
    </row>
    <row r="21" spans="1:5" x14ac:dyDescent="0.25">
      <c r="A21">
        <v>100</v>
      </c>
      <c r="B21">
        <f t="shared" si="1"/>
        <v>1.3760000000000001</v>
      </c>
      <c r="C21">
        <v>1.478</v>
      </c>
      <c r="D21">
        <v>1.2829999999999999</v>
      </c>
      <c r="E21">
        <v>1.367</v>
      </c>
    </row>
    <row r="23" spans="1:5" x14ac:dyDescent="0.25">
      <c r="A23" s="1" t="s">
        <v>5</v>
      </c>
    </row>
    <row r="24" spans="1:5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</row>
    <row r="25" spans="1:5" x14ac:dyDescent="0.25">
      <c r="A25">
        <v>0</v>
      </c>
      <c r="B25">
        <f>AVERAGE(C25:E25)</f>
        <v>5.1333333333333342E-2</v>
      </c>
      <c r="C25" s="2">
        <v>4.7E-2</v>
      </c>
      <c r="D25" s="2">
        <v>5.7000000000000002E-2</v>
      </c>
      <c r="E25" s="2">
        <v>0.05</v>
      </c>
    </row>
    <row r="26" spans="1:5" x14ac:dyDescent="0.25">
      <c r="A26">
        <v>5</v>
      </c>
      <c r="B26">
        <f t="shared" ref="B26:B32" si="2">AVERAGE(C26:E26)</f>
        <v>0.13066666666666668</v>
      </c>
      <c r="C26" s="2">
        <v>0.126</v>
      </c>
      <c r="D26" s="2">
        <v>0.13700000000000001</v>
      </c>
      <c r="E26" s="2">
        <v>0.129</v>
      </c>
    </row>
    <row r="27" spans="1:5" x14ac:dyDescent="0.25">
      <c r="A27">
        <v>12.5</v>
      </c>
      <c r="B27">
        <f>AVERAGE(C27:D27)</f>
        <v>0.245</v>
      </c>
      <c r="C27" s="2">
        <v>0.252</v>
      </c>
      <c r="D27" s="2">
        <v>0.23799999999999999</v>
      </c>
      <c r="E27" s="2">
        <v>0.28299999999999997</v>
      </c>
    </row>
    <row r="28" spans="1:5" x14ac:dyDescent="0.25">
      <c r="A28">
        <v>25</v>
      </c>
      <c r="B28">
        <f>AVERAGE(C28,D28)</f>
        <v>0.51300000000000001</v>
      </c>
      <c r="C28" s="2">
        <v>0.51400000000000001</v>
      </c>
      <c r="D28" s="2">
        <v>0.51200000000000001</v>
      </c>
      <c r="E28" s="2">
        <v>0.51900000000000002</v>
      </c>
    </row>
    <row r="29" spans="1:5" x14ac:dyDescent="0.25">
      <c r="A29">
        <v>50</v>
      </c>
      <c r="B29">
        <f>AVERAGE(C29:D29)</f>
        <v>0.88749999999999996</v>
      </c>
      <c r="C29" s="2">
        <v>0.94799999999999995</v>
      </c>
      <c r="D29" s="2">
        <v>0.82699999999999996</v>
      </c>
      <c r="E29" s="2">
        <v>1.0069999999999999</v>
      </c>
    </row>
    <row r="30" spans="1:5" x14ac:dyDescent="0.25">
      <c r="A30">
        <v>100</v>
      </c>
      <c r="B30">
        <f>AVERAGE(C30:D30)</f>
        <v>1.4144999999999999</v>
      </c>
      <c r="C30" s="2">
        <v>1.47</v>
      </c>
      <c r="D30" s="2">
        <v>1.359</v>
      </c>
      <c r="E30" s="2">
        <v>1.802</v>
      </c>
    </row>
    <row r="31" spans="1:5" x14ac:dyDescent="0.25">
      <c r="A31">
        <v>100</v>
      </c>
      <c r="B31">
        <f t="shared" si="2"/>
        <v>1.2853333333333332</v>
      </c>
      <c r="C31" s="2">
        <v>1.363</v>
      </c>
      <c r="D31" s="2">
        <v>1.1930000000000001</v>
      </c>
      <c r="E31" s="2">
        <v>1.3</v>
      </c>
    </row>
    <row r="32" spans="1:5" x14ac:dyDescent="0.25">
      <c r="A32">
        <v>100</v>
      </c>
      <c r="B32">
        <f t="shared" si="2"/>
        <v>1.3613333333333333</v>
      </c>
      <c r="C32" s="2">
        <v>1.335</v>
      </c>
      <c r="D32" s="2">
        <v>1.3919999999999999</v>
      </c>
      <c r="E32" s="2">
        <v>1.357</v>
      </c>
    </row>
    <row r="34" spans="1:5" x14ac:dyDescent="0.25">
      <c r="A34" s="1" t="s">
        <v>6</v>
      </c>
    </row>
    <row r="35" spans="1: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>
        <v>0</v>
      </c>
      <c r="B36">
        <f>AVERAGE(C36:E36)</f>
        <v>4.9000000000000009E-2</v>
      </c>
      <c r="C36" s="2">
        <v>4.8000000000000001E-2</v>
      </c>
      <c r="D36" s="2">
        <v>4.9000000000000002E-2</v>
      </c>
      <c r="E36" s="2">
        <v>0.05</v>
      </c>
    </row>
    <row r="37" spans="1:5" x14ac:dyDescent="0.25">
      <c r="A37">
        <v>5</v>
      </c>
      <c r="B37">
        <f t="shared" ref="B37:B42" si="3">AVERAGE(C37:E37)</f>
        <v>0.14466666666666667</v>
      </c>
      <c r="C37" s="2">
        <v>0.17199999999999999</v>
      </c>
      <c r="D37" s="2">
        <v>0.126</v>
      </c>
      <c r="E37" s="2">
        <v>0.13600000000000001</v>
      </c>
    </row>
    <row r="38" spans="1:5" x14ac:dyDescent="0.25">
      <c r="A38">
        <v>12.5</v>
      </c>
      <c r="B38">
        <f t="shared" si="3"/>
        <v>0.26133333333333336</v>
      </c>
      <c r="C38" s="2">
        <v>0.24199999999999999</v>
      </c>
      <c r="D38" s="2">
        <v>0.246</v>
      </c>
      <c r="E38" s="2">
        <v>0.29599999999999999</v>
      </c>
    </row>
    <row r="39" spans="1:5" x14ac:dyDescent="0.25">
      <c r="A39">
        <v>25</v>
      </c>
      <c r="B39">
        <f>AVERAGE(C39,E39)</f>
        <v>0.49199999999999999</v>
      </c>
      <c r="C39" s="2">
        <v>0.498</v>
      </c>
      <c r="D39" s="2">
        <v>0.60699999999999998</v>
      </c>
      <c r="E39" s="2">
        <v>0.48599999999999999</v>
      </c>
    </row>
    <row r="40" spans="1:5" x14ac:dyDescent="0.25">
      <c r="A40">
        <v>50</v>
      </c>
      <c r="B40">
        <f>AVERAGE(C40:D40)</f>
        <v>0.88900000000000001</v>
      </c>
      <c r="C40" s="2">
        <v>1.012</v>
      </c>
      <c r="D40" s="2">
        <v>0.76600000000000001</v>
      </c>
      <c r="E40" s="2">
        <v>1.0880000000000001</v>
      </c>
    </row>
    <row r="41" spans="1:5" x14ac:dyDescent="0.25">
      <c r="A41">
        <v>100</v>
      </c>
      <c r="B41">
        <f t="shared" si="3"/>
        <v>1.4496666666666667</v>
      </c>
      <c r="C41" s="2">
        <v>1.4119999999999999</v>
      </c>
      <c r="D41" s="2">
        <v>1.4670000000000001</v>
      </c>
      <c r="E41" s="2">
        <v>1.47</v>
      </c>
    </row>
    <row r="42" spans="1:5" x14ac:dyDescent="0.25">
      <c r="A42">
        <v>100</v>
      </c>
      <c r="B42">
        <f t="shared" si="3"/>
        <v>1.5103333333333333</v>
      </c>
      <c r="C42" s="2">
        <v>1.4590000000000001</v>
      </c>
      <c r="D42" s="2">
        <v>1.569</v>
      </c>
      <c r="E42" s="2">
        <v>1.5029999999999999</v>
      </c>
    </row>
    <row r="43" spans="1:5" x14ac:dyDescent="0.25">
      <c r="A43">
        <v>100</v>
      </c>
      <c r="B43">
        <f>AVERAGE(D43:E43)</f>
        <v>1.3795000000000002</v>
      </c>
      <c r="C43" s="2">
        <v>1.496</v>
      </c>
      <c r="D43" s="2">
        <v>1.3180000000000001</v>
      </c>
      <c r="E43" s="2">
        <v>1.4410000000000001</v>
      </c>
    </row>
    <row r="45" spans="1:5" x14ac:dyDescent="0.25">
      <c r="A45" s="1" t="s">
        <v>7</v>
      </c>
    </row>
    <row r="46" spans="1:5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</row>
    <row r="47" spans="1:5" x14ac:dyDescent="0.25">
      <c r="A47">
        <v>0</v>
      </c>
      <c r="B47">
        <f>AVERAGE(C47:E47)</f>
        <v>5.1999999999999998E-2</v>
      </c>
      <c r="C47" s="2">
        <v>5.3999999999999999E-2</v>
      </c>
      <c r="D47" s="2">
        <v>5.2999999999999999E-2</v>
      </c>
      <c r="E47" s="2">
        <v>4.9000000000000002E-2</v>
      </c>
    </row>
    <row r="48" spans="1:5" x14ac:dyDescent="0.25">
      <c r="A48">
        <v>5</v>
      </c>
      <c r="B48">
        <f t="shared" ref="B48:B54" si="4">AVERAGE(C48:E48)</f>
        <v>0.15533333333333332</v>
      </c>
      <c r="C48" s="2">
        <v>0.121</v>
      </c>
      <c r="D48" s="2">
        <v>0.218</v>
      </c>
      <c r="E48" s="2">
        <v>0.127</v>
      </c>
    </row>
    <row r="49" spans="1:5" x14ac:dyDescent="0.25">
      <c r="A49">
        <v>12.5</v>
      </c>
      <c r="B49">
        <f t="shared" si="4"/>
        <v>0.22999999999999998</v>
      </c>
      <c r="C49" s="2">
        <v>0.19500000000000001</v>
      </c>
      <c r="D49" s="2">
        <v>0.24299999999999999</v>
      </c>
      <c r="E49" s="2">
        <v>0.252</v>
      </c>
    </row>
    <row r="50" spans="1:5" x14ac:dyDescent="0.25">
      <c r="A50">
        <v>25</v>
      </c>
      <c r="B50">
        <f t="shared" si="4"/>
        <v>0.53433333333333344</v>
      </c>
      <c r="C50" s="2">
        <v>0.47399999999999998</v>
      </c>
      <c r="D50" s="2">
        <v>0.56100000000000005</v>
      </c>
      <c r="E50" s="2">
        <v>0.56799999999999995</v>
      </c>
    </row>
    <row r="51" spans="1:5" x14ac:dyDescent="0.25">
      <c r="A51">
        <v>50</v>
      </c>
      <c r="B51">
        <f>AVERAGE(C51,E51)</f>
        <v>0.76200000000000001</v>
      </c>
      <c r="C51" s="2">
        <v>0.73599999999999999</v>
      </c>
      <c r="D51" s="2">
        <v>0.78600000000000003</v>
      </c>
      <c r="E51" s="2">
        <v>0.78800000000000003</v>
      </c>
    </row>
    <row r="52" spans="1:5" x14ac:dyDescent="0.25">
      <c r="A52">
        <v>100</v>
      </c>
      <c r="B52">
        <f t="shared" si="4"/>
        <v>1.5283333333333333</v>
      </c>
      <c r="C52" s="2">
        <v>1.6259999999999999</v>
      </c>
      <c r="D52" s="2">
        <v>1.33</v>
      </c>
      <c r="E52" s="2">
        <v>1.629</v>
      </c>
    </row>
    <row r="53" spans="1:5" x14ac:dyDescent="0.25">
      <c r="A53">
        <v>100</v>
      </c>
      <c r="B53">
        <f t="shared" si="4"/>
        <v>1.3893333333333333</v>
      </c>
      <c r="C53" s="2">
        <v>1.427</v>
      </c>
      <c r="D53" s="2">
        <v>1.286</v>
      </c>
      <c r="E53" s="2">
        <v>1.4550000000000001</v>
      </c>
    </row>
    <row r="54" spans="1:5" x14ac:dyDescent="0.25">
      <c r="A54">
        <v>100</v>
      </c>
      <c r="B54">
        <f t="shared" si="4"/>
        <v>1.3949999999999998</v>
      </c>
      <c r="C54" s="2">
        <v>1.2729999999999999</v>
      </c>
      <c r="D54" s="2">
        <v>1.373</v>
      </c>
      <c r="E54" s="2">
        <v>1.5389999999999999</v>
      </c>
    </row>
    <row r="56" spans="1:5" x14ac:dyDescent="0.25">
      <c r="A56" s="1" t="s">
        <v>8</v>
      </c>
    </row>
    <row r="57" spans="1:5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</row>
    <row r="58" spans="1:5" x14ac:dyDescent="0.25">
      <c r="A58">
        <v>0</v>
      </c>
      <c r="B58">
        <f>AVERAGE(C58:E58)</f>
        <v>5.0666666666666665E-2</v>
      </c>
      <c r="C58" s="2">
        <v>5.0999999999999997E-2</v>
      </c>
      <c r="D58" s="2">
        <v>0.05</v>
      </c>
      <c r="E58" s="2">
        <v>5.0999999999999997E-2</v>
      </c>
    </row>
    <row r="59" spans="1:5" x14ac:dyDescent="0.25">
      <c r="A59">
        <v>5</v>
      </c>
      <c r="B59">
        <f t="shared" ref="B59:B65" si="5">AVERAGE(C59:E59)</f>
        <v>0.11599999999999999</v>
      </c>
      <c r="C59" s="2">
        <v>0.13200000000000001</v>
      </c>
      <c r="D59" s="2">
        <v>0.109</v>
      </c>
      <c r="E59" s="2">
        <v>0.107</v>
      </c>
    </row>
    <row r="60" spans="1:5" x14ac:dyDescent="0.25">
      <c r="A60">
        <v>12.5</v>
      </c>
      <c r="B60">
        <f t="shared" si="5"/>
        <v>0.26633333333333337</v>
      </c>
      <c r="C60" s="2">
        <v>0.25600000000000001</v>
      </c>
      <c r="D60" s="2">
        <v>0.29199999999999998</v>
      </c>
      <c r="E60" s="2">
        <v>0.251</v>
      </c>
    </row>
    <row r="61" spans="1:5" x14ac:dyDescent="0.25">
      <c r="A61">
        <v>25</v>
      </c>
      <c r="B61">
        <f>AVERAGE(C61:D61)</f>
        <v>0.55349999999999999</v>
      </c>
      <c r="C61" s="2">
        <v>0.53400000000000003</v>
      </c>
      <c r="D61" s="2">
        <v>0.57299999999999995</v>
      </c>
      <c r="E61" s="2">
        <v>0.60599999999999998</v>
      </c>
    </row>
    <row r="62" spans="1:5" x14ac:dyDescent="0.25">
      <c r="A62">
        <v>50</v>
      </c>
      <c r="B62">
        <f t="shared" si="5"/>
        <v>0.78533333333333333</v>
      </c>
      <c r="C62" s="2">
        <v>0.74199999999999999</v>
      </c>
      <c r="D62" s="2">
        <v>0.81399999999999995</v>
      </c>
      <c r="E62" s="2">
        <v>0.8</v>
      </c>
    </row>
    <row r="63" spans="1:5" x14ac:dyDescent="0.25">
      <c r="A63">
        <v>100</v>
      </c>
      <c r="B63">
        <f t="shared" si="5"/>
        <v>1.3009999999999999</v>
      </c>
      <c r="C63" s="2">
        <v>1.3839999999999999</v>
      </c>
      <c r="D63" s="2">
        <v>1.2989999999999999</v>
      </c>
      <c r="E63" s="2">
        <v>1.22</v>
      </c>
    </row>
    <row r="64" spans="1:5" x14ac:dyDescent="0.25">
      <c r="A64">
        <v>100</v>
      </c>
      <c r="B64">
        <f t="shared" si="5"/>
        <v>1.4206666666666665</v>
      </c>
      <c r="C64" s="2">
        <v>1.4039999999999999</v>
      </c>
      <c r="D64" s="2">
        <v>1.335</v>
      </c>
      <c r="E64" s="2">
        <v>1.5229999999999999</v>
      </c>
    </row>
    <row r="65" spans="1:5" x14ac:dyDescent="0.25">
      <c r="A65">
        <v>100</v>
      </c>
      <c r="B65">
        <f t="shared" si="5"/>
        <v>1.3566666666666667</v>
      </c>
      <c r="C65" s="2">
        <v>1.2689999999999999</v>
      </c>
      <c r="D65" s="2">
        <v>1.32</v>
      </c>
      <c r="E65" s="2">
        <v>1.4810000000000001</v>
      </c>
    </row>
    <row r="68" spans="1:5" x14ac:dyDescent="0.25">
      <c r="A68" s="1" t="s">
        <v>9</v>
      </c>
    </row>
    <row r="69" spans="1: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</row>
    <row r="70" spans="1:5" x14ac:dyDescent="0.25">
      <c r="A70">
        <v>0</v>
      </c>
      <c r="B70">
        <f>AVERAGE(C70:E70)</f>
        <v>5.000000000000001E-2</v>
      </c>
      <c r="C70" s="2">
        <v>4.9000000000000002E-2</v>
      </c>
      <c r="D70" s="2">
        <v>5.0999999999999997E-2</v>
      </c>
      <c r="E70" s="2">
        <v>0.05</v>
      </c>
    </row>
    <row r="71" spans="1:5" x14ac:dyDescent="0.25">
      <c r="A71">
        <v>5</v>
      </c>
      <c r="B71">
        <f t="shared" ref="B71:B77" si="6">AVERAGE(C71:E71)</f>
        <v>0.13666666666666666</v>
      </c>
      <c r="C71" s="2">
        <v>0.14499999999999999</v>
      </c>
      <c r="D71" s="2">
        <v>0.14199999999999999</v>
      </c>
      <c r="E71" s="2">
        <v>0.123</v>
      </c>
    </row>
    <row r="72" spans="1:5" x14ac:dyDescent="0.25">
      <c r="A72">
        <v>12.5</v>
      </c>
      <c r="B72">
        <f t="shared" si="6"/>
        <v>0.22999999999999998</v>
      </c>
      <c r="C72" s="2">
        <v>0.21199999999999999</v>
      </c>
      <c r="D72" s="2">
        <v>0.247</v>
      </c>
      <c r="E72" s="2">
        <v>0.23100000000000001</v>
      </c>
    </row>
    <row r="73" spans="1:5" x14ac:dyDescent="0.25">
      <c r="A73">
        <v>25</v>
      </c>
      <c r="B73">
        <f t="shared" si="6"/>
        <v>0.5003333333333333</v>
      </c>
      <c r="C73" s="2">
        <v>0.45900000000000002</v>
      </c>
      <c r="D73" s="2">
        <v>0.53100000000000003</v>
      </c>
      <c r="E73" s="2">
        <v>0.51100000000000001</v>
      </c>
    </row>
    <row r="74" spans="1:5" x14ac:dyDescent="0.25">
      <c r="A74">
        <v>50</v>
      </c>
      <c r="B74">
        <f>AVERAGE(D74:E74)</f>
        <v>0.83799999999999997</v>
      </c>
      <c r="C74" s="2">
        <v>1.03</v>
      </c>
      <c r="D74" s="2">
        <v>0.83899999999999997</v>
      </c>
      <c r="E74" s="2">
        <v>0.83699999999999997</v>
      </c>
    </row>
    <row r="75" spans="1:5" x14ac:dyDescent="0.25">
      <c r="A75">
        <v>100</v>
      </c>
      <c r="B75">
        <f t="shared" si="6"/>
        <v>1.3879999999999999</v>
      </c>
      <c r="C75" s="2">
        <v>1.347</v>
      </c>
      <c r="D75" s="2">
        <v>1.486</v>
      </c>
      <c r="E75" s="2">
        <v>1.331</v>
      </c>
    </row>
    <row r="76" spans="1:5" x14ac:dyDescent="0.25">
      <c r="A76">
        <v>100</v>
      </c>
      <c r="B76">
        <f t="shared" si="6"/>
        <v>1.3713333333333333</v>
      </c>
      <c r="C76" s="2">
        <v>1.4330000000000001</v>
      </c>
      <c r="D76" s="2">
        <v>1.321</v>
      </c>
      <c r="E76" s="2">
        <v>1.36</v>
      </c>
    </row>
    <row r="77" spans="1:5" x14ac:dyDescent="0.25">
      <c r="A77">
        <v>100</v>
      </c>
      <c r="B77">
        <f t="shared" si="6"/>
        <v>1.3666666666666665</v>
      </c>
      <c r="C77" s="2">
        <v>1.3720000000000001</v>
      </c>
      <c r="D77" s="2">
        <v>1.321</v>
      </c>
      <c r="E77" s="2">
        <v>1.407</v>
      </c>
    </row>
    <row r="79" spans="1:5" x14ac:dyDescent="0.25">
      <c r="A79" s="1" t="s">
        <v>10</v>
      </c>
    </row>
    <row r="80" spans="1:5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</row>
    <row r="81" spans="1:5" x14ac:dyDescent="0.25">
      <c r="A81">
        <v>0</v>
      </c>
      <c r="B81">
        <f>AVERAGE(C81:E81)</f>
        <v>5.0666666666666665E-2</v>
      </c>
      <c r="C81" s="2">
        <v>5.0999999999999997E-2</v>
      </c>
      <c r="D81" s="2">
        <v>0.05</v>
      </c>
      <c r="E81" s="2">
        <v>5.0999999999999997E-2</v>
      </c>
    </row>
    <row r="82" spans="1:5" x14ac:dyDescent="0.25">
      <c r="A82">
        <v>5</v>
      </c>
      <c r="B82">
        <f t="shared" ref="B82:B88" si="7">AVERAGE(C82:E82)</f>
        <v>0.12266666666666666</v>
      </c>
      <c r="C82" s="2">
        <v>0.115</v>
      </c>
      <c r="D82" s="2">
        <v>0.123</v>
      </c>
      <c r="E82" s="2">
        <v>0.13</v>
      </c>
    </row>
    <row r="83" spans="1:5" x14ac:dyDescent="0.25">
      <c r="A83">
        <v>12.5</v>
      </c>
      <c r="B83">
        <f t="shared" si="7"/>
        <v>0.25699999999999995</v>
      </c>
      <c r="C83" s="2">
        <v>0.23499999999999999</v>
      </c>
      <c r="D83" s="2">
        <v>0.248</v>
      </c>
      <c r="E83" s="2">
        <v>0.28799999999999998</v>
      </c>
    </row>
    <row r="84" spans="1:5" x14ac:dyDescent="0.25">
      <c r="A84">
        <v>25</v>
      </c>
      <c r="B84">
        <f>AVERAGE(D84:E84)</f>
        <v>0.46450000000000002</v>
      </c>
      <c r="C84" s="2">
        <v>0.81200000000000006</v>
      </c>
      <c r="D84" s="2">
        <v>0.49099999999999999</v>
      </c>
      <c r="E84" s="2">
        <v>0.438</v>
      </c>
    </row>
    <row r="85" spans="1:5" x14ac:dyDescent="0.25">
      <c r="A85">
        <v>50</v>
      </c>
      <c r="B85">
        <f t="shared" si="7"/>
        <v>0.81366666666666665</v>
      </c>
      <c r="C85" s="2">
        <v>0.71499999999999997</v>
      </c>
      <c r="D85" s="2">
        <v>0.86399999999999999</v>
      </c>
      <c r="E85" s="2">
        <v>0.86199999999999999</v>
      </c>
    </row>
    <row r="86" spans="1:5" x14ac:dyDescent="0.25">
      <c r="A86">
        <v>100</v>
      </c>
      <c r="B86">
        <f t="shared" si="7"/>
        <v>1.4053333333333333</v>
      </c>
      <c r="C86" s="2">
        <v>1.3460000000000001</v>
      </c>
      <c r="D86" s="2">
        <v>1.3759999999999999</v>
      </c>
      <c r="E86" s="2">
        <v>1.494</v>
      </c>
    </row>
    <row r="87" spans="1:5" x14ac:dyDescent="0.25">
      <c r="A87">
        <v>100</v>
      </c>
      <c r="B87">
        <f t="shared" si="7"/>
        <v>1.1346666666666667</v>
      </c>
      <c r="C87" s="2">
        <v>1.012</v>
      </c>
      <c r="D87" s="2">
        <v>1.105</v>
      </c>
      <c r="E87" s="2">
        <v>1.2869999999999999</v>
      </c>
    </row>
    <row r="88" spans="1:5" x14ac:dyDescent="0.25">
      <c r="A88">
        <v>100</v>
      </c>
      <c r="B88">
        <f t="shared" si="7"/>
        <v>1.3656666666666666</v>
      </c>
      <c r="C88" s="2">
        <v>1.4239999999999999</v>
      </c>
      <c r="D88" s="2">
        <v>1.319</v>
      </c>
      <c r="E88" s="2">
        <v>1.3540000000000001</v>
      </c>
    </row>
    <row r="90" spans="1:5" x14ac:dyDescent="0.25">
      <c r="A90" s="1" t="s">
        <v>22</v>
      </c>
    </row>
    <row r="91" spans="1:5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</row>
    <row r="92" spans="1:5" x14ac:dyDescent="0.25">
      <c r="A92">
        <v>0</v>
      </c>
      <c r="B92">
        <f>AVERAGE(C92:E92)</f>
        <v>5.000000000000001E-2</v>
      </c>
      <c r="C92" s="2">
        <v>4.9000000000000002E-2</v>
      </c>
      <c r="D92" s="2">
        <v>5.1999999999999998E-2</v>
      </c>
      <c r="E92" s="2">
        <v>4.9000000000000002E-2</v>
      </c>
    </row>
    <row r="93" spans="1:5" x14ac:dyDescent="0.25">
      <c r="A93">
        <v>5</v>
      </c>
      <c r="B93">
        <f t="shared" ref="B93:B99" si="8">AVERAGE(C93:E93)</f>
        <v>0.12833333333333333</v>
      </c>
      <c r="C93" s="2">
        <v>0.129</v>
      </c>
      <c r="D93" s="2">
        <v>0.14199999999999999</v>
      </c>
      <c r="E93" s="2">
        <v>0.114</v>
      </c>
    </row>
    <row r="94" spans="1:5" x14ac:dyDescent="0.25">
      <c r="A94">
        <v>12.5</v>
      </c>
      <c r="B94">
        <f t="shared" si="8"/>
        <v>0.215</v>
      </c>
      <c r="C94" s="2">
        <v>0.22800000000000001</v>
      </c>
      <c r="D94" s="2">
        <v>0.20200000000000001</v>
      </c>
      <c r="E94" s="2">
        <v>0.215</v>
      </c>
    </row>
    <row r="95" spans="1:5" x14ac:dyDescent="0.25">
      <c r="A95">
        <v>25</v>
      </c>
      <c r="B95">
        <f t="shared" si="8"/>
        <v>0.44466666666666671</v>
      </c>
      <c r="C95" s="2">
        <v>0.501</v>
      </c>
      <c r="D95" s="2">
        <v>0.42199999999999999</v>
      </c>
      <c r="E95" s="2">
        <v>0.41099999999999998</v>
      </c>
    </row>
    <row r="96" spans="1:5" x14ac:dyDescent="0.25">
      <c r="A96">
        <v>50</v>
      </c>
      <c r="B96">
        <f>AVERAGE(C96:D96)</f>
        <v>0.72499999999999998</v>
      </c>
      <c r="C96" s="2">
        <v>0.70599999999999996</v>
      </c>
      <c r="D96" s="2">
        <v>0.74399999999999999</v>
      </c>
      <c r="E96" s="2">
        <v>0.78500000000000003</v>
      </c>
    </row>
    <row r="97" spans="1:5" x14ac:dyDescent="0.25">
      <c r="A97">
        <v>100</v>
      </c>
      <c r="B97">
        <f t="shared" si="8"/>
        <v>1.2030000000000001</v>
      </c>
      <c r="C97" s="2">
        <v>1.3049999999999999</v>
      </c>
      <c r="D97" s="2">
        <v>1.1910000000000001</v>
      </c>
      <c r="E97" s="2">
        <v>1.113</v>
      </c>
    </row>
    <row r="98" spans="1:5" x14ac:dyDescent="0.25">
      <c r="A98">
        <v>100</v>
      </c>
      <c r="B98">
        <f t="shared" si="8"/>
        <v>1.3886666666666667</v>
      </c>
      <c r="C98" s="2">
        <v>1.5149999999999999</v>
      </c>
      <c r="D98" s="2">
        <v>1.401</v>
      </c>
      <c r="E98" s="2">
        <v>1.25</v>
      </c>
    </row>
    <row r="99" spans="1:5" x14ac:dyDescent="0.25">
      <c r="A99">
        <v>100</v>
      </c>
      <c r="B99">
        <f t="shared" si="8"/>
        <v>1.2533333333333334</v>
      </c>
      <c r="C99" s="2">
        <v>1.2150000000000001</v>
      </c>
      <c r="D99" s="2">
        <v>1.2390000000000001</v>
      </c>
      <c r="E99" s="2">
        <v>1.306</v>
      </c>
    </row>
    <row r="101" spans="1:5" x14ac:dyDescent="0.25">
      <c r="A101" s="1" t="s">
        <v>23</v>
      </c>
    </row>
    <row r="102" spans="1: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</row>
    <row r="103" spans="1:5" x14ac:dyDescent="0.25">
      <c r="A103">
        <v>0</v>
      </c>
      <c r="B103">
        <f>AVERAGE(C103:E103)</f>
        <v>4.9666666666666671E-2</v>
      </c>
      <c r="C103" s="2">
        <v>0.05</v>
      </c>
      <c r="D103" s="2">
        <v>0.05</v>
      </c>
      <c r="E103" s="2">
        <v>4.9000000000000002E-2</v>
      </c>
    </row>
    <row r="104" spans="1:5" x14ac:dyDescent="0.25">
      <c r="A104">
        <v>5</v>
      </c>
      <c r="B104">
        <f t="shared" ref="B104:B110" si="9">AVERAGE(C104:E104)</f>
        <v>0.12933333333333333</v>
      </c>
      <c r="C104" s="2">
        <v>0.13100000000000001</v>
      </c>
      <c r="D104" s="2">
        <v>0.14199999999999999</v>
      </c>
      <c r="E104" s="2">
        <v>0.115</v>
      </c>
    </row>
    <row r="105" spans="1:5" x14ac:dyDescent="0.25">
      <c r="A105">
        <v>12.5</v>
      </c>
      <c r="B105">
        <f t="shared" si="9"/>
        <v>0.24733333333333332</v>
      </c>
      <c r="C105" s="2">
        <v>0.27800000000000002</v>
      </c>
      <c r="D105" s="2">
        <v>0.22800000000000001</v>
      </c>
      <c r="E105" s="2">
        <v>0.23599999999999999</v>
      </c>
    </row>
    <row r="106" spans="1:5" x14ac:dyDescent="0.25">
      <c r="A106">
        <v>25</v>
      </c>
      <c r="B106">
        <f t="shared" si="9"/>
        <v>0.46133333333333332</v>
      </c>
      <c r="C106" s="2">
        <v>0.45500000000000002</v>
      </c>
      <c r="D106" s="2">
        <v>0.44700000000000001</v>
      </c>
      <c r="E106" s="2">
        <v>0.48199999999999998</v>
      </c>
    </row>
    <row r="107" spans="1:5" x14ac:dyDescent="0.25">
      <c r="A107">
        <v>50</v>
      </c>
      <c r="B107">
        <f t="shared" si="9"/>
        <v>0.81466666666666665</v>
      </c>
      <c r="C107" s="2">
        <v>0.82299999999999995</v>
      </c>
      <c r="D107" s="2">
        <v>0.79500000000000004</v>
      </c>
      <c r="E107" s="2">
        <v>0.82599999999999996</v>
      </c>
    </row>
    <row r="108" spans="1:5" x14ac:dyDescent="0.25">
      <c r="A108">
        <v>100</v>
      </c>
      <c r="B108">
        <f t="shared" si="9"/>
        <v>1.3310000000000002</v>
      </c>
      <c r="C108" s="2">
        <v>1.389</v>
      </c>
      <c r="D108" s="2">
        <v>1.2789999999999999</v>
      </c>
      <c r="E108" s="2">
        <v>1.325</v>
      </c>
    </row>
    <row r="109" spans="1:5" x14ac:dyDescent="0.25">
      <c r="A109">
        <v>100</v>
      </c>
      <c r="B109">
        <f t="shared" si="9"/>
        <v>1.4153333333333336</v>
      </c>
      <c r="C109" s="2">
        <v>1.4450000000000001</v>
      </c>
      <c r="D109" s="2">
        <v>1.39</v>
      </c>
      <c r="E109" s="2">
        <v>1.411</v>
      </c>
    </row>
    <row r="110" spans="1:5" x14ac:dyDescent="0.25">
      <c r="A110">
        <v>100</v>
      </c>
      <c r="B110">
        <f t="shared" si="9"/>
        <v>1.3663333333333334</v>
      </c>
      <c r="C110" s="2">
        <v>1.413</v>
      </c>
      <c r="D110" s="2">
        <v>1.3540000000000001</v>
      </c>
      <c r="E110" s="2">
        <v>1.3320000000000001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16AB-0A6B-46F1-A8D5-DD49DE2EED46}">
  <dimension ref="A1:N9"/>
  <sheetViews>
    <sheetView workbookViewId="0">
      <selection activeCell="G17" sqref="G17"/>
    </sheetView>
  </sheetViews>
  <sheetFormatPr defaultRowHeight="15" x14ac:dyDescent="0.25"/>
  <sheetData>
    <row r="1" spans="1:14" x14ac:dyDescent="0.25">
      <c r="A1" s="3" t="s">
        <v>19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11</v>
      </c>
      <c r="B2" s="2">
        <v>4.9000000000000002E-2</v>
      </c>
      <c r="C2" s="2">
        <v>0.05</v>
      </c>
      <c r="D2" s="2">
        <v>4.8000000000000001E-2</v>
      </c>
      <c r="E2" s="7">
        <v>4.4999999999999998E-2</v>
      </c>
      <c r="F2" s="7">
        <v>4.3999999999999997E-2</v>
      </c>
      <c r="G2" s="7">
        <v>4.9000000000000002E-2</v>
      </c>
      <c r="H2" s="7">
        <v>4.8000000000000001E-2</v>
      </c>
      <c r="I2" s="7">
        <v>4.4999999999999998E-2</v>
      </c>
      <c r="J2" s="7">
        <v>4.3999999999999997E-2</v>
      </c>
      <c r="K2" s="7">
        <v>4.4999999999999998E-2</v>
      </c>
      <c r="L2" s="7">
        <v>4.3999999999999997E-2</v>
      </c>
      <c r="M2" s="7">
        <v>4.4999999999999998E-2</v>
      </c>
      <c r="N2" s="5">
        <v>670</v>
      </c>
    </row>
    <row r="3" spans="1:14" x14ac:dyDescent="0.25">
      <c r="A3" s="4" t="s">
        <v>12</v>
      </c>
      <c r="B3" s="2">
        <v>0.155</v>
      </c>
      <c r="C3" s="2">
        <v>0.18099999999999999</v>
      </c>
      <c r="D3" s="2">
        <v>0.113</v>
      </c>
      <c r="E3" s="7">
        <v>4.4999999999999998E-2</v>
      </c>
      <c r="F3" s="7">
        <v>4.4999999999999998E-2</v>
      </c>
      <c r="G3" s="7">
        <v>4.5999999999999999E-2</v>
      </c>
      <c r="H3" s="7">
        <v>4.4999999999999998E-2</v>
      </c>
      <c r="I3" s="7">
        <v>4.9000000000000002E-2</v>
      </c>
      <c r="J3" s="7">
        <v>4.3999999999999997E-2</v>
      </c>
      <c r="K3" s="7">
        <v>5.0999999999999997E-2</v>
      </c>
      <c r="L3" s="7">
        <v>4.4999999999999998E-2</v>
      </c>
      <c r="M3" s="7">
        <v>4.4999999999999998E-2</v>
      </c>
      <c r="N3" s="5">
        <v>670</v>
      </c>
    </row>
    <row r="4" spans="1:14" x14ac:dyDescent="0.25">
      <c r="A4" s="4" t="s">
        <v>13</v>
      </c>
      <c r="B4" s="2">
        <v>0.27100000000000002</v>
      </c>
      <c r="C4" s="2">
        <v>0.30399999999999999</v>
      </c>
      <c r="D4" s="2">
        <v>0.47</v>
      </c>
      <c r="E4" s="7">
        <v>4.3999999999999997E-2</v>
      </c>
      <c r="F4" s="7">
        <v>4.4999999999999998E-2</v>
      </c>
      <c r="G4" s="7">
        <v>4.4999999999999998E-2</v>
      </c>
      <c r="H4" s="7">
        <v>4.4999999999999998E-2</v>
      </c>
      <c r="I4" s="7">
        <v>4.3999999999999997E-2</v>
      </c>
      <c r="J4" s="7">
        <v>4.3999999999999997E-2</v>
      </c>
      <c r="K4" s="7">
        <v>4.4999999999999998E-2</v>
      </c>
      <c r="L4" s="7">
        <v>4.4999999999999998E-2</v>
      </c>
      <c r="M4" s="7">
        <v>4.4999999999999998E-2</v>
      </c>
      <c r="N4" s="5">
        <v>670</v>
      </c>
    </row>
    <row r="5" spans="1:14" x14ac:dyDescent="0.25">
      <c r="A5" s="4" t="s">
        <v>14</v>
      </c>
      <c r="B5" s="2">
        <v>0.46300000000000002</v>
      </c>
      <c r="C5" s="2">
        <v>0.377</v>
      </c>
      <c r="D5" s="2">
        <v>0.46200000000000002</v>
      </c>
      <c r="E5" s="7">
        <v>4.4999999999999998E-2</v>
      </c>
      <c r="F5" s="7">
        <v>4.3999999999999997E-2</v>
      </c>
      <c r="G5" s="7">
        <v>4.5999999999999999E-2</v>
      </c>
      <c r="H5" s="7">
        <v>4.3999999999999997E-2</v>
      </c>
      <c r="I5" s="7">
        <v>4.4999999999999998E-2</v>
      </c>
      <c r="J5" s="7">
        <v>4.4999999999999998E-2</v>
      </c>
      <c r="K5" s="7">
        <v>4.3999999999999997E-2</v>
      </c>
      <c r="L5" s="7">
        <v>4.4999999999999998E-2</v>
      </c>
      <c r="M5" s="7">
        <v>4.7E-2</v>
      </c>
      <c r="N5" s="5">
        <v>670</v>
      </c>
    </row>
    <row r="6" spans="1:14" x14ac:dyDescent="0.25">
      <c r="A6" s="4" t="s">
        <v>15</v>
      </c>
      <c r="B6" s="2">
        <v>0.85599999999999998</v>
      </c>
      <c r="C6" s="2">
        <v>0.83299999999999996</v>
      </c>
      <c r="D6" s="2">
        <v>0.73099999999999998</v>
      </c>
      <c r="E6" s="7">
        <v>4.3999999999999997E-2</v>
      </c>
      <c r="F6" s="7">
        <v>4.3999999999999997E-2</v>
      </c>
      <c r="G6" s="7">
        <v>4.3999999999999997E-2</v>
      </c>
      <c r="H6" s="7">
        <v>4.5999999999999999E-2</v>
      </c>
      <c r="I6" s="7">
        <v>4.4999999999999998E-2</v>
      </c>
      <c r="J6" s="7">
        <v>4.4999999999999998E-2</v>
      </c>
      <c r="K6" s="7">
        <v>4.3999999999999997E-2</v>
      </c>
      <c r="L6" s="7">
        <v>4.4999999999999998E-2</v>
      </c>
      <c r="M6" s="7">
        <v>4.4999999999999998E-2</v>
      </c>
      <c r="N6" s="5">
        <v>670</v>
      </c>
    </row>
    <row r="7" spans="1:14" x14ac:dyDescent="0.25">
      <c r="A7" s="4" t="s">
        <v>16</v>
      </c>
      <c r="B7" s="2">
        <v>1.3740000000000001</v>
      </c>
      <c r="C7" s="2">
        <v>1.3859999999999999</v>
      </c>
      <c r="D7" s="2">
        <v>1.649</v>
      </c>
      <c r="E7" s="7">
        <v>4.4999999999999998E-2</v>
      </c>
      <c r="F7" s="7">
        <v>4.4999999999999998E-2</v>
      </c>
      <c r="G7" s="7">
        <v>4.4999999999999998E-2</v>
      </c>
      <c r="H7" s="7">
        <v>4.4999999999999998E-2</v>
      </c>
      <c r="I7" s="7">
        <v>4.4999999999999998E-2</v>
      </c>
      <c r="J7" s="7">
        <v>4.4999999999999998E-2</v>
      </c>
      <c r="K7" s="7">
        <v>4.4999999999999998E-2</v>
      </c>
      <c r="L7" s="7">
        <v>4.4999999999999998E-2</v>
      </c>
      <c r="M7" s="7">
        <v>4.3999999999999997E-2</v>
      </c>
      <c r="N7" s="5">
        <v>670</v>
      </c>
    </row>
    <row r="8" spans="1:14" x14ac:dyDescent="0.25">
      <c r="A8" s="4" t="s">
        <v>17</v>
      </c>
      <c r="B8" s="2">
        <v>1.2809999999999999</v>
      </c>
      <c r="C8" s="2">
        <v>1.262</v>
      </c>
      <c r="D8" s="2">
        <v>1.282</v>
      </c>
      <c r="E8" s="7">
        <v>4.3999999999999997E-2</v>
      </c>
      <c r="F8" s="7">
        <v>4.3999999999999997E-2</v>
      </c>
      <c r="G8" s="7">
        <v>4.3999999999999997E-2</v>
      </c>
      <c r="H8" s="7">
        <v>4.3999999999999997E-2</v>
      </c>
      <c r="I8" s="7">
        <v>4.3999999999999997E-2</v>
      </c>
      <c r="J8" s="7">
        <v>4.4999999999999998E-2</v>
      </c>
      <c r="K8" s="7">
        <v>4.4999999999999998E-2</v>
      </c>
      <c r="L8" s="7">
        <v>4.3999999999999997E-2</v>
      </c>
      <c r="M8" s="7">
        <v>4.8000000000000001E-2</v>
      </c>
      <c r="N8" s="5">
        <v>670</v>
      </c>
    </row>
    <row r="9" spans="1:14" x14ac:dyDescent="0.25">
      <c r="A9" s="4" t="s">
        <v>18</v>
      </c>
      <c r="B9" s="2">
        <v>1.23</v>
      </c>
      <c r="C9" s="2">
        <v>1.3440000000000001</v>
      </c>
      <c r="D9" s="2">
        <v>1.2809999999999999</v>
      </c>
      <c r="E9" s="7">
        <v>4.4999999999999998E-2</v>
      </c>
      <c r="F9" s="7">
        <v>4.3999999999999997E-2</v>
      </c>
      <c r="G9" s="7">
        <v>4.4999999999999998E-2</v>
      </c>
      <c r="H9" s="7">
        <v>4.3999999999999997E-2</v>
      </c>
      <c r="I9" s="7">
        <v>4.3999999999999997E-2</v>
      </c>
      <c r="J9" s="7">
        <v>4.4999999999999998E-2</v>
      </c>
      <c r="K9" s="7">
        <v>4.4999999999999998E-2</v>
      </c>
      <c r="L9" s="7">
        <v>4.4999999999999998E-2</v>
      </c>
      <c r="M9" s="7">
        <v>4.5999999999999999E-2</v>
      </c>
      <c r="N9" s="5">
        <v>670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F149-3AFC-468E-8C2A-5F8AAE1085B5}">
  <dimension ref="A1:N29"/>
  <sheetViews>
    <sheetView tabSelected="1" workbookViewId="0">
      <selection activeCell="E14" sqref="E14"/>
    </sheetView>
  </sheetViews>
  <sheetFormatPr defaultRowHeight="15" x14ac:dyDescent="0.25"/>
  <sheetData>
    <row r="1" spans="1:14" x14ac:dyDescent="0.25">
      <c r="A1" s="3" t="s">
        <v>2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11</v>
      </c>
      <c r="B2" s="2">
        <v>4.5999999999999999E-2</v>
      </c>
      <c r="C2" s="2">
        <v>4.8000000000000001E-2</v>
      </c>
      <c r="D2" s="2">
        <v>4.8000000000000001E-2</v>
      </c>
      <c r="E2" s="2">
        <v>7.4999999999999997E-2</v>
      </c>
      <c r="F2" s="2">
        <v>7.9000000000000001E-2</v>
      </c>
      <c r="G2" s="2">
        <v>7.0000000000000007E-2</v>
      </c>
      <c r="H2" s="2">
        <v>0.158</v>
      </c>
      <c r="I2" s="2">
        <v>0.16900000000000001</v>
      </c>
      <c r="J2" s="2">
        <v>0.159</v>
      </c>
      <c r="K2" s="2">
        <v>2.504</v>
      </c>
      <c r="L2" s="2">
        <v>2.8929999999999998</v>
      </c>
      <c r="M2" s="2">
        <v>2.782</v>
      </c>
      <c r="N2" s="5">
        <v>670</v>
      </c>
    </row>
    <row r="3" spans="1:14" x14ac:dyDescent="0.25">
      <c r="A3" s="4" t="s">
        <v>12</v>
      </c>
      <c r="B3" s="2">
        <v>0.127</v>
      </c>
      <c r="C3" s="2">
        <v>0.14000000000000001</v>
      </c>
      <c r="D3" s="2">
        <v>0.14799999999999999</v>
      </c>
      <c r="E3" s="2">
        <v>4.8000000000000001E-2</v>
      </c>
      <c r="F3" s="2">
        <v>5.2999999999999999E-2</v>
      </c>
      <c r="G3" s="2">
        <v>5.0999999999999997E-2</v>
      </c>
      <c r="H3" s="2">
        <v>6.2E-2</v>
      </c>
      <c r="I3" s="2">
        <v>6.5000000000000002E-2</v>
      </c>
      <c r="J3" s="2">
        <v>6.8000000000000005E-2</v>
      </c>
      <c r="K3" s="2">
        <v>2.84</v>
      </c>
      <c r="L3" s="2">
        <v>2.548</v>
      </c>
      <c r="M3" s="2">
        <v>3.0550000000000002</v>
      </c>
      <c r="N3" s="5">
        <v>670</v>
      </c>
    </row>
    <row r="4" spans="1:14" x14ac:dyDescent="0.25">
      <c r="A4" s="4" t="s">
        <v>13</v>
      </c>
      <c r="B4" s="2">
        <v>0.26600000000000001</v>
      </c>
      <c r="C4" s="2">
        <v>0.3</v>
      </c>
      <c r="D4" s="2">
        <v>0.23400000000000001</v>
      </c>
      <c r="E4" s="2">
        <v>6.5000000000000002E-2</v>
      </c>
      <c r="F4" s="2">
        <v>0.08</v>
      </c>
      <c r="G4" s="2">
        <v>5.8999999999999997E-2</v>
      </c>
      <c r="H4" s="2">
        <v>5.3999999999999999E-2</v>
      </c>
      <c r="I4" s="2">
        <v>5.8000000000000003E-2</v>
      </c>
      <c r="J4" s="2">
        <v>6.7000000000000004E-2</v>
      </c>
      <c r="K4" s="2">
        <v>2.234</v>
      </c>
      <c r="L4" s="2">
        <v>1.7350000000000001</v>
      </c>
      <c r="M4" s="2">
        <v>1.9890000000000001</v>
      </c>
      <c r="N4" s="5">
        <v>670</v>
      </c>
    </row>
    <row r="5" spans="1:14" x14ac:dyDescent="0.25">
      <c r="A5" s="4" t="s">
        <v>14</v>
      </c>
      <c r="B5" s="2">
        <v>0.65300000000000002</v>
      </c>
      <c r="C5" s="2">
        <v>0.55600000000000005</v>
      </c>
      <c r="D5" s="2">
        <v>0.51400000000000001</v>
      </c>
      <c r="E5" s="2">
        <v>8.7999999999999995E-2</v>
      </c>
      <c r="F5" s="2">
        <v>9.5000000000000001E-2</v>
      </c>
      <c r="G5" s="2">
        <v>8.6999999999999994E-2</v>
      </c>
      <c r="H5" s="2">
        <v>5.5E-2</v>
      </c>
      <c r="I5" s="2">
        <v>5.6000000000000001E-2</v>
      </c>
      <c r="J5" s="2">
        <v>5.5E-2</v>
      </c>
      <c r="K5" s="2">
        <v>2.165</v>
      </c>
      <c r="L5" s="2">
        <v>2.8170000000000002</v>
      </c>
      <c r="M5" s="2">
        <v>2.8029999999999999</v>
      </c>
      <c r="N5" s="5">
        <v>670</v>
      </c>
    </row>
    <row r="6" spans="1:14" x14ac:dyDescent="0.25">
      <c r="A6" s="4" t="s">
        <v>15</v>
      </c>
      <c r="B6" s="2">
        <v>1.01</v>
      </c>
      <c r="C6" s="2">
        <v>0.81499999999999995</v>
      </c>
      <c r="D6" s="2">
        <v>0.94799999999999995</v>
      </c>
      <c r="E6" s="2">
        <v>5.3999999999999999E-2</v>
      </c>
      <c r="F6" s="2">
        <v>5.2999999999999999E-2</v>
      </c>
      <c r="G6" s="2">
        <v>5.3999999999999999E-2</v>
      </c>
      <c r="H6" s="2">
        <v>8.1000000000000003E-2</v>
      </c>
      <c r="I6" s="2">
        <v>7.9000000000000001E-2</v>
      </c>
      <c r="J6" s="2">
        <v>7.9000000000000001E-2</v>
      </c>
      <c r="K6" s="2">
        <v>2.891</v>
      </c>
      <c r="L6" s="2">
        <v>2.5950000000000002</v>
      </c>
      <c r="M6" s="2">
        <v>2.7320000000000002</v>
      </c>
      <c r="N6" s="5">
        <v>670</v>
      </c>
    </row>
    <row r="7" spans="1:14" x14ac:dyDescent="0.25">
      <c r="A7" s="4" t="s">
        <v>16</v>
      </c>
      <c r="B7" s="2">
        <v>1.486</v>
      </c>
      <c r="C7" s="2">
        <v>1.466</v>
      </c>
      <c r="D7" s="2">
        <v>1.764</v>
      </c>
      <c r="E7" s="2">
        <v>5.0999999999999997E-2</v>
      </c>
      <c r="F7" s="2">
        <v>5.2999999999999999E-2</v>
      </c>
      <c r="G7" s="2">
        <v>5.2999999999999999E-2</v>
      </c>
      <c r="H7" s="2">
        <v>7.4999999999999997E-2</v>
      </c>
      <c r="I7" s="2">
        <v>8.2000000000000003E-2</v>
      </c>
      <c r="J7" s="2">
        <v>8.4000000000000005E-2</v>
      </c>
      <c r="K7" s="2">
        <v>2.1840000000000002</v>
      </c>
      <c r="L7" s="2">
        <v>2.3929999999999998</v>
      </c>
      <c r="M7" s="2">
        <v>2.1520000000000001</v>
      </c>
      <c r="N7" s="5">
        <v>670</v>
      </c>
    </row>
    <row r="8" spans="1:14" x14ac:dyDescent="0.25">
      <c r="A8" s="4" t="s">
        <v>17</v>
      </c>
      <c r="B8" s="2">
        <v>1.4379999999999999</v>
      </c>
      <c r="C8" s="2">
        <v>1.355</v>
      </c>
      <c r="D8" s="2">
        <v>1.589</v>
      </c>
      <c r="E8" s="2">
        <v>6.6000000000000003E-2</v>
      </c>
      <c r="F8" s="2">
        <v>6.7000000000000004E-2</v>
      </c>
      <c r="G8" s="2">
        <v>6.4000000000000001E-2</v>
      </c>
      <c r="H8" s="2">
        <v>7.3999999999999996E-2</v>
      </c>
      <c r="I8" s="2">
        <v>7.2999999999999995E-2</v>
      </c>
      <c r="J8" s="2">
        <v>7.8E-2</v>
      </c>
      <c r="K8" s="2">
        <v>2.5880000000000001</v>
      </c>
      <c r="L8" s="2">
        <v>2.7240000000000002</v>
      </c>
      <c r="M8" s="2">
        <v>2.71</v>
      </c>
      <c r="N8" s="5">
        <v>670</v>
      </c>
    </row>
    <row r="9" spans="1:14" x14ac:dyDescent="0.25">
      <c r="A9" s="4" t="s">
        <v>18</v>
      </c>
      <c r="B9" s="2">
        <v>1.478</v>
      </c>
      <c r="C9" s="2">
        <v>1.2829999999999999</v>
      </c>
      <c r="D9" s="2">
        <v>1.367</v>
      </c>
      <c r="E9" s="2">
        <v>5.2999999999999999E-2</v>
      </c>
      <c r="F9" s="2">
        <v>5.5E-2</v>
      </c>
      <c r="G9" s="2">
        <v>5.6000000000000001E-2</v>
      </c>
      <c r="H9" s="2">
        <v>0.38700000000000001</v>
      </c>
      <c r="I9" s="2">
        <v>0.46100000000000002</v>
      </c>
      <c r="J9" s="2">
        <v>0.42499999999999999</v>
      </c>
      <c r="K9" s="2">
        <v>2.8130000000000002</v>
      </c>
      <c r="L9" s="2">
        <v>2.8479999999999999</v>
      </c>
      <c r="M9" s="2">
        <v>2.8279999999999998</v>
      </c>
      <c r="N9" s="5">
        <v>670</v>
      </c>
    </row>
    <row r="11" spans="1:14" x14ac:dyDescent="0.25">
      <c r="A11" s="3" t="s">
        <v>29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11</v>
      </c>
      <c r="B12" s="8" t="s">
        <v>30</v>
      </c>
      <c r="C12" s="8" t="s">
        <v>30</v>
      </c>
      <c r="D12" s="8" t="s">
        <v>30</v>
      </c>
      <c r="E12" s="8" t="s">
        <v>59</v>
      </c>
      <c r="F12" s="8" t="s">
        <v>59</v>
      </c>
      <c r="G12" s="8" t="s">
        <v>59</v>
      </c>
      <c r="H12" s="8" t="s">
        <v>67</v>
      </c>
      <c r="I12" s="8" t="s">
        <v>67</v>
      </c>
      <c r="J12" s="8" t="s">
        <v>67</v>
      </c>
      <c r="K12" s="8" t="s">
        <v>75</v>
      </c>
      <c r="L12" s="8" t="s">
        <v>75</v>
      </c>
      <c r="M12" s="8" t="s">
        <v>75</v>
      </c>
    </row>
    <row r="13" spans="1:14" x14ac:dyDescent="0.25">
      <c r="A13" s="4" t="s">
        <v>12</v>
      </c>
      <c r="B13" s="8" t="s">
        <v>34</v>
      </c>
      <c r="C13" s="8" t="s">
        <v>34</v>
      </c>
      <c r="D13" s="8" t="s">
        <v>34</v>
      </c>
      <c r="E13" s="8" t="s">
        <v>61</v>
      </c>
      <c r="F13" s="8" t="s">
        <v>61</v>
      </c>
      <c r="G13" s="8" t="s">
        <v>61</v>
      </c>
      <c r="H13" s="8" t="s">
        <v>68</v>
      </c>
      <c r="I13" s="8" t="s">
        <v>68</v>
      </c>
      <c r="J13" s="8" t="s">
        <v>68</v>
      </c>
      <c r="K13" s="8" t="s">
        <v>76</v>
      </c>
      <c r="L13" s="8" t="s">
        <v>76</v>
      </c>
      <c r="M13" s="8" t="s">
        <v>76</v>
      </c>
    </row>
    <row r="14" spans="1:14" x14ac:dyDescent="0.25">
      <c r="A14" s="4" t="s">
        <v>13</v>
      </c>
      <c r="B14" s="8" t="s">
        <v>38</v>
      </c>
      <c r="C14" s="8" t="s">
        <v>38</v>
      </c>
      <c r="D14" s="8" t="s">
        <v>38</v>
      </c>
      <c r="E14" s="8" t="s">
        <v>62</v>
      </c>
      <c r="F14" s="8" t="s">
        <v>62</v>
      </c>
      <c r="G14" s="8" t="s">
        <v>62</v>
      </c>
      <c r="H14" s="8" t="s">
        <v>69</v>
      </c>
      <c r="I14" s="8" t="s">
        <v>69</v>
      </c>
      <c r="J14" s="8" t="s">
        <v>69</v>
      </c>
      <c r="K14" s="8" t="s">
        <v>78</v>
      </c>
      <c r="L14" s="8" t="s">
        <v>78</v>
      </c>
      <c r="M14" s="8" t="s">
        <v>78</v>
      </c>
    </row>
    <row r="15" spans="1:14" x14ac:dyDescent="0.25">
      <c r="A15" s="4" t="s">
        <v>14</v>
      </c>
      <c r="B15" s="8" t="s">
        <v>42</v>
      </c>
      <c r="C15" s="8" t="s">
        <v>42</v>
      </c>
      <c r="D15" s="8" t="s">
        <v>42</v>
      </c>
      <c r="E15" s="8" t="s">
        <v>63</v>
      </c>
      <c r="F15" s="8" t="s">
        <v>63</v>
      </c>
      <c r="G15" s="8" t="s">
        <v>63</v>
      </c>
      <c r="H15" s="8" t="s">
        <v>70</v>
      </c>
      <c r="I15" s="8" t="s">
        <v>70</v>
      </c>
      <c r="J15" s="8" t="s">
        <v>70</v>
      </c>
      <c r="K15" s="8" t="s">
        <v>37</v>
      </c>
      <c r="L15" s="8" t="s">
        <v>37</v>
      </c>
      <c r="M15" s="8" t="s">
        <v>37</v>
      </c>
    </row>
    <row r="16" spans="1:14" x14ac:dyDescent="0.25">
      <c r="A16" s="4" t="s">
        <v>15</v>
      </c>
      <c r="B16" s="8" t="s">
        <v>46</v>
      </c>
      <c r="C16" s="8" t="s">
        <v>46</v>
      </c>
      <c r="D16" s="8" t="s">
        <v>46</v>
      </c>
      <c r="E16" s="8" t="s">
        <v>60</v>
      </c>
      <c r="F16" s="8" t="s">
        <v>60</v>
      </c>
      <c r="G16" s="8" t="s">
        <v>60</v>
      </c>
      <c r="H16" s="8" t="s">
        <v>71</v>
      </c>
      <c r="I16" s="8" t="s">
        <v>71</v>
      </c>
      <c r="J16" s="8" t="s">
        <v>71</v>
      </c>
      <c r="K16" s="8" t="s">
        <v>41</v>
      </c>
      <c r="L16" s="8" t="s">
        <v>41</v>
      </c>
      <c r="M16" s="8" t="s">
        <v>41</v>
      </c>
    </row>
    <row r="17" spans="1:13" x14ac:dyDescent="0.25">
      <c r="A17" s="4" t="s">
        <v>16</v>
      </c>
      <c r="B17" s="8" t="s">
        <v>50</v>
      </c>
      <c r="C17" s="8" t="s">
        <v>50</v>
      </c>
      <c r="D17" s="8" t="s">
        <v>50</v>
      </c>
      <c r="E17" s="8" t="s">
        <v>64</v>
      </c>
      <c r="F17" s="8" t="s">
        <v>64</v>
      </c>
      <c r="G17" s="8" t="s">
        <v>64</v>
      </c>
      <c r="H17" s="8" t="s">
        <v>72</v>
      </c>
      <c r="I17" s="8" t="s">
        <v>72</v>
      </c>
      <c r="J17" s="8" t="s">
        <v>72</v>
      </c>
      <c r="K17" s="8" t="s">
        <v>77</v>
      </c>
      <c r="L17" s="8" t="s">
        <v>77</v>
      </c>
      <c r="M17" s="8" t="s">
        <v>77</v>
      </c>
    </row>
    <row r="18" spans="1:13" x14ac:dyDescent="0.25">
      <c r="A18" s="4" t="s">
        <v>17</v>
      </c>
      <c r="B18" s="8" t="s">
        <v>53</v>
      </c>
      <c r="C18" s="8" t="s">
        <v>53</v>
      </c>
      <c r="D18" s="8" t="s">
        <v>53</v>
      </c>
      <c r="E18" s="8" t="s">
        <v>65</v>
      </c>
      <c r="F18" s="8" t="s">
        <v>65</v>
      </c>
      <c r="G18" s="8" t="s">
        <v>65</v>
      </c>
      <c r="H18" s="8" t="s">
        <v>73</v>
      </c>
      <c r="I18" s="8" t="s">
        <v>73</v>
      </c>
      <c r="J18" s="8" t="s">
        <v>73</v>
      </c>
      <c r="K18" s="8" t="s">
        <v>45</v>
      </c>
      <c r="L18" s="8" t="s">
        <v>45</v>
      </c>
      <c r="M18" s="8" t="s">
        <v>45</v>
      </c>
    </row>
    <row r="19" spans="1:13" x14ac:dyDescent="0.25">
      <c r="A19" s="4" t="s">
        <v>18</v>
      </c>
      <c r="B19" s="8" t="s">
        <v>56</v>
      </c>
      <c r="C19" s="8" t="s">
        <v>56</v>
      </c>
      <c r="D19" s="8" t="s">
        <v>56</v>
      </c>
      <c r="E19" s="8" t="s">
        <v>66</v>
      </c>
      <c r="F19" s="8" t="s">
        <v>66</v>
      </c>
      <c r="G19" s="8" t="s">
        <v>66</v>
      </c>
      <c r="H19" s="8" t="s">
        <v>74</v>
      </c>
      <c r="I19" s="8" t="s">
        <v>74</v>
      </c>
      <c r="J19" s="8" t="s">
        <v>74</v>
      </c>
      <c r="K19" s="8" t="s">
        <v>79</v>
      </c>
      <c r="L19" s="8" t="s">
        <v>79</v>
      </c>
      <c r="M19" s="8" t="s">
        <v>79</v>
      </c>
    </row>
    <row r="21" spans="1:13" ht="30" x14ac:dyDescent="0.25">
      <c r="A21" s="3" t="s">
        <v>58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58B5-8D93-4146-B127-865D27B5A890}">
  <dimension ref="A1:N29"/>
  <sheetViews>
    <sheetView topLeftCell="A6" workbookViewId="0">
      <selection activeCell="E12" sqref="E12"/>
    </sheetView>
  </sheetViews>
  <sheetFormatPr defaultRowHeight="15" x14ac:dyDescent="0.25"/>
  <sheetData>
    <row r="1" spans="1:14" x14ac:dyDescent="0.25">
      <c r="A1" s="3" t="s">
        <v>2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11</v>
      </c>
      <c r="B2" s="2">
        <v>4.7E-2</v>
      </c>
      <c r="C2" s="2">
        <v>5.7000000000000002E-2</v>
      </c>
      <c r="D2" s="2">
        <v>0.05</v>
      </c>
      <c r="E2" s="2">
        <v>3.0329999999999999</v>
      </c>
      <c r="F2" s="2">
        <v>2.9159999999999999</v>
      </c>
      <c r="G2" s="2">
        <v>2.7890000000000001</v>
      </c>
      <c r="H2" s="2">
        <v>5.7000000000000002E-2</v>
      </c>
      <c r="I2" s="2">
        <v>5.2999999999999999E-2</v>
      </c>
      <c r="J2" s="2">
        <v>5.3999999999999999E-2</v>
      </c>
      <c r="K2" s="2">
        <v>0.184</v>
      </c>
      <c r="L2" s="2">
        <v>0.17299999999999999</v>
      </c>
      <c r="M2" s="2">
        <v>0.17399999999999999</v>
      </c>
      <c r="N2" s="5">
        <v>670</v>
      </c>
    </row>
    <row r="3" spans="1:14" x14ac:dyDescent="0.25">
      <c r="A3" s="4" t="s">
        <v>12</v>
      </c>
      <c r="B3" s="2">
        <v>0.126</v>
      </c>
      <c r="C3" s="2">
        <v>0.13700000000000001</v>
      </c>
      <c r="D3" s="2">
        <v>0.129</v>
      </c>
      <c r="E3" s="2">
        <v>5.0999999999999997E-2</v>
      </c>
      <c r="F3" s="2">
        <v>5.1999999999999998E-2</v>
      </c>
      <c r="G3" s="2">
        <v>5.5E-2</v>
      </c>
      <c r="H3" s="2">
        <v>8.3000000000000004E-2</v>
      </c>
      <c r="I3" s="2">
        <v>8.2000000000000003E-2</v>
      </c>
      <c r="J3" s="2">
        <v>8.1000000000000003E-2</v>
      </c>
      <c r="K3" s="2">
        <v>0.59699999999999998</v>
      </c>
      <c r="L3" s="2">
        <v>0.56999999999999995</v>
      </c>
      <c r="M3" s="2">
        <v>0.59299999999999997</v>
      </c>
      <c r="N3" s="5">
        <v>670</v>
      </c>
    </row>
    <row r="4" spans="1:14" x14ac:dyDescent="0.25">
      <c r="A4" s="4" t="s">
        <v>13</v>
      </c>
      <c r="B4" s="2">
        <v>0.252</v>
      </c>
      <c r="C4" s="2">
        <v>0.23799999999999999</v>
      </c>
      <c r="D4" s="2">
        <v>0.28299999999999997</v>
      </c>
      <c r="E4" s="2">
        <v>5.2999999999999999E-2</v>
      </c>
      <c r="F4" s="2">
        <v>5.0999999999999997E-2</v>
      </c>
      <c r="G4" s="2">
        <v>5.5E-2</v>
      </c>
      <c r="H4" s="2">
        <v>6.0999999999999999E-2</v>
      </c>
      <c r="I4" s="2">
        <v>5.6000000000000001E-2</v>
      </c>
      <c r="J4" s="2">
        <v>5.8000000000000003E-2</v>
      </c>
      <c r="K4" s="2">
        <v>5.8999999999999997E-2</v>
      </c>
      <c r="L4" s="2">
        <v>5.6000000000000001E-2</v>
      </c>
      <c r="M4" s="2">
        <v>6.4000000000000001E-2</v>
      </c>
      <c r="N4" s="5">
        <v>670</v>
      </c>
    </row>
    <row r="5" spans="1:14" x14ac:dyDescent="0.25">
      <c r="A5" s="4" t="s">
        <v>14</v>
      </c>
      <c r="B5" s="2">
        <v>0.51400000000000001</v>
      </c>
      <c r="C5" s="2">
        <v>0.51200000000000001</v>
      </c>
      <c r="D5" s="2">
        <v>0.51900000000000002</v>
      </c>
      <c r="E5" s="2">
        <v>5.3999999999999999E-2</v>
      </c>
      <c r="F5" s="2">
        <v>5.2999999999999999E-2</v>
      </c>
      <c r="G5" s="2">
        <v>5.3999999999999999E-2</v>
      </c>
      <c r="H5" s="2">
        <v>7.0999999999999994E-2</v>
      </c>
      <c r="I5" s="2">
        <v>7.2999999999999995E-2</v>
      </c>
      <c r="J5" s="2">
        <v>7.1999999999999995E-2</v>
      </c>
      <c r="K5" s="2">
        <v>0.13200000000000001</v>
      </c>
      <c r="L5" s="2">
        <v>0.13500000000000001</v>
      </c>
      <c r="M5" s="2">
        <v>0.13100000000000001</v>
      </c>
      <c r="N5" s="5">
        <v>670</v>
      </c>
    </row>
    <row r="6" spans="1:14" x14ac:dyDescent="0.25">
      <c r="A6" s="4" t="s">
        <v>15</v>
      </c>
      <c r="B6" s="2">
        <v>0.94799999999999995</v>
      </c>
      <c r="C6" s="2">
        <v>0.82699999999999996</v>
      </c>
      <c r="D6" s="2">
        <v>1.0069999999999999</v>
      </c>
      <c r="E6" s="2">
        <v>0.05</v>
      </c>
      <c r="F6" s="2">
        <v>5.0999999999999997E-2</v>
      </c>
      <c r="G6" s="2">
        <v>5.0999999999999997E-2</v>
      </c>
      <c r="H6" s="2">
        <v>0.20200000000000001</v>
      </c>
      <c r="I6" s="2">
        <v>0.19400000000000001</v>
      </c>
      <c r="J6" s="2">
        <v>0.19</v>
      </c>
      <c r="K6" s="2">
        <v>0.53400000000000003</v>
      </c>
      <c r="L6" s="2">
        <v>0.502</v>
      </c>
      <c r="M6" s="2">
        <v>0.53700000000000003</v>
      </c>
      <c r="N6" s="5">
        <v>670</v>
      </c>
    </row>
    <row r="7" spans="1:14" x14ac:dyDescent="0.25">
      <c r="A7" s="4" t="s">
        <v>16</v>
      </c>
      <c r="B7" s="2">
        <v>1.47</v>
      </c>
      <c r="C7" s="2">
        <v>1.359</v>
      </c>
      <c r="D7" s="2">
        <v>1.802</v>
      </c>
      <c r="E7" s="2">
        <v>5.3999999999999999E-2</v>
      </c>
      <c r="F7" s="2">
        <v>5.1999999999999998E-2</v>
      </c>
      <c r="G7" s="2">
        <v>5.3999999999999999E-2</v>
      </c>
      <c r="H7" s="2">
        <v>5.1999999999999998E-2</v>
      </c>
      <c r="I7" s="2">
        <v>5.3999999999999999E-2</v>
      </c>
      <c r="J7" s="2">
        <v>5.3999999999999999E-2</v>
      </c>
      <c r="K7" s="2">
        <v>0.30199999999999999</v>
      </c>
      <c r="L7" s="2">
        <v>0.34200000000000003</v>
      </c>
      <c r="M7" s="2">
        <v>0.313</v>
      </c>
      <c r="N7" s="5">
        <v>670</v>
      </c>
    </row>
    <row r="8" spans="1:14" x14ac:dyDescent="0.25">
      <c r="A8" s="4" t="s">
        <v>17</v>
      </c>
      <c r="B8" s="2">
        <v>1.363</v>
      </c>
      <c r="C8" s="2">
        <v>1.1930000000000001</v>
      </c>
      <c r="D8" s="2">
        <v>1.3</v>
      </c>
      <c r="E8" s="2">
        <v>0.08</v>
      </c>
      <c r="F8" s="2">
        <v>0.08</v>
      </c>
      <c r="G8" s="2">
        <v>7.9000000000000001E-2</v>
      </c>
      <c r="H8" s="2">
        <v>5.2999999999999999E-2</v>
      </c>
      <c r="I8" s="2">
        <v>5.6000000000000001E-2</v>
      </c>
      <c r="J8" s="2">
        <v>5.3999999999999999E-2</v>
      </c>
      <c r="K8" s="2">
        <v>2.5979999999999999</v>
      </c>
      <c r="L8" s="2">
        <v>2.8149999999999999</v>
      </c>
      <c r="M8" s="2">
        <v>2.5960000000000001</v>
      </c>
      <c r="N8" s="5">
        <v>670</v>
      </c>
    </row>
    <row r="9" spans="1:14" x14ac:dyDescent="0.25">
      <c r="A9" s="4" t="s">
        <v>18</v>
      </c>
      <c r="B9" s="2">
        <v>1.335</v>
      </c>
      <c r="C9" s="2">
        <v>1.3919999999999999</v>
      </c>
      <c r="D9" s="2">
        <v>1.357</v>
      </c>
      <c r="E9" s="2">
        <v>5.1999999999999998E-2</v>
      </c>
      <c r="F9" s="2">
        <v>5.1999999999999998E-2</v>
      </c>
      <c r="G9" s="2">
        <v>0.05</v>
      </c>
      <c r="H9" s="2">
        <v>5.2999999999999999E-2</v>
      </c>
      <c r="I9" s="2">
        <v>5.3999999999999999E-2</v>
      </c>
      <c r="J9" s="2">
        <v>5.1999999999999998E-2</v>
      </c>
      <c r="K9" s="2">
        <v>2.73</v>
      </c>
      <c r="L9" s="2">
        <v>2.9950000000000001</v>
      </c>
      <c r="M9" s="2">
        <v>2.7280000000000002</v>
      </c>
      <c r="N9" s="5">
        <v>670</v>
      </c>
    </row>
    <row r="11" spans="1:14" x14ac:dyDescent="0.25">
      <c r="A11" s="3" t="s">
        <v>29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11</v>
      </c>
      <c r="B12" s="8" t="s">
        <v>30</v>
      </c>
      <c r="C12" s="8" t="s">
        <v>30</v>
      </c>
      <c r="D12" s="8" t="s">
        <v>30</v>
      </c>
      <c r="E12" s="8" t="s">
        <v>80</v>
      </c>
      <c r="F12" s="8" t="s">
        <v>80</v>
      </c>
      <c r="G12" s="8" t="s">
        <v>80</v>
      </c>
      <c r="H12" s="8" t="s">
        <v>52</v>
      </c>
      <c r="I12" s="8" t="s">
        <v>52</v>
      </c>
      <c r="J12" s="8" t="s">
        <v>52</v>
      </c>
      <c r="K12" s="8" t="s">
        <v>88</v>
      </c>
      <c r="L12" s="8" t="s">
        <v>88</v>
      </c>
      <c r="M12" s="8" t="s">
        <v>88</v>
      </c>
    </row>
    <row r="13" spans="1:14" x14ac:dyDescent="0.25">
      <c r="A13" s="4" t="s">
        <v>12</v>
      </c>
      <c r="B13" s="8" t="s">
        <v>34</v>
      </c>
      <c r="C13" s="8" t="s">
        <v>34</v>
      </c>
      <c r="D13" s="8" t="s">
        <v>34</v>
      </c>
      <c r="E13" s="8" t="s">
        <v>81</v>
      </c>
      <c r="F13" s="8" t="s">
        <v>81</v>
      </c>
      <c r="G13" s="8" t="s">
        <v>81</v>
      </c>
      <c r="H13" s="8" t="s">
        <v>52</v>
      </c>
      <c r="I13" s="8" t="s">
        <v>52</v>
      </c>
      <c r="J13" s="8" t="s">
        <v>52</v>
      </c>
      <c r="K13" s="8" t="s">
        <v>89</v>
      </c>
      <c r="L13" s="8" t="s">
        <v>89</v>
      </c>
      <c r="M13" s="8" t="s">
        <v>89</v>
      </c>
    </row>
    <row r="14" spans="1:14" x14ac:dyDescent="0.25">
      <c r="A14" s="4" t="s">
        <v>13</v>
      </c>
      <c r="B14" s="8" t="s">
        <v>38</v>
      </c>
      <c r="C14" s="8" t="s">
        <v>38</v>
      </c>
      <c r="D14" s="8" t="s">
        <v>38</v>
      </c>
      <c r="E14" s="8" t="s">
        <v>82</v>
      </c>
      <c r="F14" s="8" t="s">
        <v>82</v>
      </c>
      <c r="G14" s="8" t="s">
        <v>82</v>
      </c>
      <c r="H14" s="8" t="s">
        <v>52</v>
      </c>
      <c r="I14" s="8" t="s">
        <v>52</v>
      </c>
      <c r="J14" s="8" t="s">
        <v>52</v>
      </c>
      <c r="K14" s="8" t="s">
        <v>91</v>
      </c>
      <c r="L14" s="8" t="s">
        <v>91</v>
      </c>
      <c r="M14" s="8" t="s">
        <v>91</v>
      </c>
    </row>
    <row r="15" spans="1:14" x14ac:dyDescent="0.25">
      <c r="A15" s="4" t="s">
        <v>14</v>
      </c>
      <c r="B15" s="8" t="s">
        <v>42</v>
      </c>
      <c r="C15" s="8" t="s">
        <v>42</v>
      </c>
      <c r="D15" s="8" t="s">
        <v>42</v>
      </c>
      <c r="E15" s="8" t="s">
        <v>83</v>
      </c>
      <c r="F15" s="8" t="s">
        <v>83</v>
      </c>
      <c r="G15" s="8" t="s">
        <v>83</v>
      </c>
      <c r="H15" s="8" t="s">
        <v>52</v>
      </c>
      <c r="I15" s="8" t="s">
        <v>52</v>
      </c>
      <c r="J15" s="8" t="s">
        <v>52</v>
      </c>
      <c r="K15" s="8" t="s">
        <v>92</v>
      </c>
      <c r="L15" s="8" t="s">
        <v>92</v>
      </c>
      <c r="M15" s="8" t="s">
        <v>92</v>
      </c>
    </row>
    <row r="16" spans="1:14" x14ac:dyDescent="0.25">
      <c r="A16" s="4" t="s">
        <v>15</v>
      </c>
      <c r="B16" s="8" t="s">
        <v>46</v>
      </c>
      <c r="C16" s="8" t="s">
        <v>46</v>
      </c>
      <c r="D16" s="8" t="s">
        <v>46</v>
      </c>
      <c r="E16" s="8" t="s">
        <v>84</v>
      </c>
      <c r="F16" s="8" t="s">
        <v>84</v>
      </c>
      <c r="G16" s="8" t="s">
        <v>84</v>
      </c>
      <c r="H16" s="8" t="s">
        <v>52</v>
      </c>
      <c r="I16" s="8" t="s">
        <v>52</v>
      </c>
      <c r="J16" s="8" t="s">
        <v>52</v>
      </c>
      <c r="K16" s="8" t="s">
        <v>90</v>
      </c>
      <c r="L16" s="8" t="s">
        <v>90</v>
      </c>
      <c r="M16" s="8" t="s">
        <v>90</v>
      </c>
    </row>
    <row r="17" spans="1:13" x14ac:dyDescent="0.25">
      <c r="A17" s="4" t="s">
        <v>16</v>
      </c>
      <c r="B17" s="8" t="s">
        <v>50</v>
      </c>
      <c r="C17" s="8" t="s">
        <v>50</v>
      </c>
      <c r="D17" s="8" t="s">
        <v>50</v>
      </c>
      <c r="E17" s="8" t="s">
        <v>85</v>
      </c>
      <c r="F17" s="8" t="s">
        <v>85</v>
      </c>
      <c r="G17" s="8" t="s">
        <v>85</v>
      </c>
      <c r="H17" s="8" t="s">
        <v>52</v>
      </c>
      <c r="I17" s="8" t="s">
        <v>52</v>
      </c>
      <c r="J17" s="8" t="s">
        <v>52</v>
      </c>
      <c r="K17" s="8" t="s">
        <v>93</v>
      </c>
      <c r="L17" s="8" t="s">
        <v>93</v>
      </c>
      <c r="M17" s="8" t="s">
        <v>93</v>
      </c>
    </row>
    <row r="18" spans="1:13" x14ac:dyDescent="0.25">
      <c r="A18" s="4" t="s">
        <v>17</v>
      </c>
      <c r="B18" s="8" t="s">
        <v>53</v>
      </c>
      <c r="C18" s="8" t="s">
        <v>53</v>
      </c>
      <c r="D18" s="8" t="s">
        <v>53</v>
      </c>
      <c r="E18" s="8" t="s">
        <v>86</v>
      </c>
      <c r="F18" s="8" t="s">
        <v>86</v>
      </c>
      <c r="G18" s="8" t="s">
        <v>86</v>
      </c>
      <c r="H18" s="8" t="s">
        <v>52</v>
      </c>
      <c r="I18" s="8" t="s">
        <v>52</v>
      </c>
      <c r="J18" s="8" t="s">
        <v>52</v>
      </c>
      <c r="K18" s="8" t="s">
        <v>33</v>
      </c>
      <c r="L18" s="8" t="s">
        <v>33</v>
      </c>
      <c r="M18" s="8" t="s">
        <v>33</v>
      </c>
    </row>
    <row r="19" spans="1:13" x14ac:dyDescent="0.25">
      <c r="A19" s="4" t="s">
        <v>18</v>
      </c>
      <c r="B19" s="8" t="s">
        <v>56</v>
      </c>
      <c r="C19" s="8" t="s">
        <v>56</v>
      </c>
      <c r="D19" s="8" t="s">
        <v>56</v>
      </c>
      <c r="E19" s="8" t="s">
        <v>87</v>
      </c>
      <c r="F19" s="8" t="s">
        <v>87</v>
      </c>
      <c r="G19" s="8" t="s">
        <v>87</v>
      </c>
      <c r="H19" s="8" t="s">
        <v>52</v>
      </c>
      <c r="I19" s="8" t="s">
        <v>52</v>
      </c>
      <c r="J19" s="8" t="s">
        <v>52</v>
      </c>
      <c r="K19" s="8" t="s">
        <v>94</v>
      </c>
      <c r="L19" s="8" t="s">
        <v>94</v>
      </c>
      <c r="M19" s="8" t="s">
        <v>94</v>
      </c>
    </row>
    <row r="21" spans="1:13" ht="30" x14ac:dyDescent="0.25">
      <c r="A21" s="3" t="s">
        <v>58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9333-46A1-473D-AD58-C9C972249DB2}">
  <dimension ref="A1:N29"/>
  <sheetViews>
    <sheetView topLeftCell="A6" workbookViewId="0">
      <selection activeCell="L12" sqref="L12:M19"/>
    </sheetView>
  </sheetViews>
  <sheetFormatPr defaultRowHeight="15" x14ac:dyDescent="0.25"/>
  <sheetData>
    <row r="1" spans="1:14" x14ac:dyDescent="0.25">
      <c r="A1" s="3" t="s">
        <v>6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11</v>
      </c>
      <c r="B2" s="2">
        <v>4.8000000000000001E-2</v>
      </c>
      <c r="C2" s="2">
        <v>4.9000000000000002E-2</v>
      </c>
      <c r="D2" s="2">
        <v>0.05</v>
      </c>
      <c r="E2" s="2">
        <v>0.11</v>
      </c>
      <c r="F2" s="2">
        <v>0.107</v>
      </c>
      <c r="G2" s="2">
        <v>0.108</v>
      </c>
      <c r="H2" s="2">
        <v>5.6000000000000001E-2</v>
      </c>
      <c r="I2" s="2">
        <v>5.3999999999999999E-2</v>
      </c>
      <c r="J2" s="2">
        <v>5.3999999999999999E-2</v>
      </c>
      <c r="K2" s="2">
        <v>8.4000000000000005E-2</v>
      </c>
      <c r="L2" s="2">
        <v>8.4000000000000005E-2</v>
      </c>
      <c r="M2" s="2">
        <v>8.3000000000000004E-2</v>
      </c>
      <c r="N2" s="5">
        <v>670</v>
      </c>
    </row>
    <row r="3" spans="1:14" x14ac:dyDescent="0.25">
      <c r="A3" s="4" t="s">
        <v>12</v>
      </c>
      <c r="B3" s="2">
        <v>0.17199999999999999</v>
      </c>
      <c r="C3" s="2">
        <v>0.126</v>
      </c>
      <c r="D3" s="2">
        <v>0.13600000000000001</v>
      </c>
      <c r="E3" s="2">
        <v>2.6440000000000001</v>
      </c>
      <c r="F3" s="2">
        <v>2.831</v>
      </c>
      <c r="G3" s="2">
        <v>2.7360000000000002</v>
      </c>
      <c r="H3" s="2">
        <v>5.5E-2</v>
      </c>
      <c r="I3" s="2">
        <v>5.1999999999999998E-2</v>
      </c>
      <c r="J3" s="2">
        <v>5.1999999999999998E-2</v>
      </c>
      <c r="K3" s="2">
        <v>0.45200000000000001</v>
      </c>
      <c r="L3" s="2">
        <v>0.42</v>
      </c>
      <c r="M3" s="2">
        <v>0.46800000000000003</v>
      </c>
      <c r="N3" s="5">
        <v>670</v>
      </c>
    </row>
    <row r="4" spans="1:14" x14ac:dyDescent="0.25">
      <c r="A4" s="4" t="s">
        <v>13</v>
      </c>
      <c r="B4" s="2">
        <v>0.24199999999999999</v>
      </c>
      <c r="C4" s="2">
        <v>0.246</v>
      </c>
      <c r="D4" s="2">
        <v>0.29599999999999999</v>
      </c>
      <c r="E4" s="2">
        <v>2.7869999999999999</v>
      </c>
      <c r="F4" s="2">
        <v>2.7709999999999999</v>
      </c>
      <c r="G4" s="2">
        <v>2.9049999999999998</v>
      </c>
      <c r="H4" s="2">
        <v>5.6000000000000001E-2</v>
      </c>
      <c r="I4" s="2">
        <v>6.3E-2</v>
      </c>
      <c r="J4" s="2">
        <v>5.5E-2</v>
      </c>
      <c r="K4" s="2">
        <v>8.2000000000000003E-2</v>
      </c>
      <c r="L4" s="2">
        <v>6.2E-2</v>
      </c>
      <c r="M4" s="2">
        <v>6.0999999999999999E-2</v>
      </c>
      <c r="N4" s="5">
        <v>670</v>
      </c>
    </row>
    <row r="5" spans="1:14" x14ac:dyDescent="0.25">
      <c r="A5" s="4" t="s">
        <v>14</v>
      </c>
      <c r="B5" s="2">
        <v>0.498</v>
      </c>
      <c r="C5" s="2">
        <v>0.60699999999999998</v>
      </c>
      <c r="D5" s="2">
        <v>0.48599999999999999</v>
      </c>
      <c r="E5" s="2">
        <v>8.6999999999999994E-2</v>
      </c>
      <c r="F5" s="2">
        <v>8.8999999999999996E-2</v>
      </c>
      <c r="G5" s="2">
        <v>8.1000000000000003E-2</v>
      </c>
      <c r="H5" s="2">
        <v>0.1</v>
      </c>
      <c r="I5" s="2">
        <v>9.0999999999999998E-2</v>
      </c>
      <c r="J5" s="2">
        <v>8.7999999999999995E-2</v>
      </c>
      <c r="K5" s="2">
        <v>7.3999999999999996E-2</v>
      </c>
      <c r="L5" s="2">
        <v>7.4999999999999997E-2</v>
      </c>
      <c r="M5" s="2">
        <v>7.4999999999999997E-2</v>
      </c>
      <c r="N5" s="5">
        <v>670</v>
      </c>
    </row>
    <row r="6" spans="1:14" x14ac:dyDescent="0.25">
      <c r="A6" s="4" t="s">
        <v>15</v>
      </c>
      <c r="B6" s="2">
        <v>1.012</v>
      </c>
      <c r="C6" s="2">
        <v>0.76600000000000001</v>
      </c>
      <c r="D6" s="2">
        <v>1.0880000000000001</v>
      </c>
      <c r="E6" s="2">
        <v>2.4929999999999999</v>
      </c>
      <c r="F6" s="2">
        <v>2.5720000000000001</v>
      </c>
      <c r="G6" s="2">
        <v>2.7320000000000002</v>
      </c>
      <c r="H6" s="2">
        <v>0.34699999999999998</v>
      </c>
      <c r="I6" s="2">
        <v>0.36899999999999999</v>
      </c>
      <c r="J6" s="2">
        <v>0.36099999999999999</v>
      </c>
      <c r="K6" s="2">
        <v>0.38200000000000001</v>
      </c>
      <c r="L6" s="2">
        <v>0.38800000000000001</v>
      </c>
      <c r="M6" s="2">
        <v>0.39700000000000002</v>
      </c>
      <c r="N6" s="5">
        <v>670</v>
      </c>
    </row>
    <row r="7" spans="1:14" x14ac:dyDescent="0.25">
      <c r="A7" s="4" t="s">
        <v>16</v>
      </c>
      <c r="B7" s="2">
        <v>1.4119999999999999</v>
      </c>
      <c r="C7" s="2">
        <v>1.4670000000000001</v>
      </c>
      <c r="D7" s="2">
        <v>1.47</v>
      </c>
      <c r="E7" s="2">
        <v>2.8530000000000002</v>
      </c>
      <c r="F7" s="2">
        <v>2.6480000000000001</v>
      </c>
      <c r="G7" s="2">
        <v>2.907</v>
      </c>
      <c r="H7" s="2">
        <v>0.33200000000000002</v>
      </c>
      <c r="I7" s="2">
        <v>0.36399999999999999</v>
      </c>
      <c r="J7" s="2">
        <v>0.36099999999999999</v>
      </c>
      <c r="K7" s="2">
        <v>0.14699999999999999</v>
      </c>
      <c r="L7" s="2">
        <v>0.154</v>
      </c>
      <c r="M7" s="2">
        <v>0.16200000000000001</v>
      </c>
      <c r="N7" s="5">
        <v>670</v>
      </c>
    </row>
    <row r="8" spans="1:14" x14ac:dyDescent="0.25">
      <c r="A8" s="4" t="s">
        <v>17</v>
      </c>
      <c r="B8" s="2">
        <v>1.4590000000000001</v>
      </c>
      <c r="C8" s="2">
        <v>1.569</v>
      </c>
      <c r="D8" s="2">
        <v>1.5029999999999999</v>
      </c>
      <c r="E8" s="2">
        <v>9.9000000000000005E-2</v>
      </c>
      <c r="F8" s="2">
        <v>9.9000000000000005E-2</v>
      </c>
      <c r="G8" s="2">
        <v>0.1</v>
      </c>
      <c r="H8" s="2">
        <v>6.6000000000000003E-2</v>
      </c>
      <c r="I8" s="2">
        <v>6.6000000000000003E-2</v>
      </c>
      <c r="J8" s="2">
        <v>6.6000000000000003E-2</v>
      </c>
      <c r="K8" s="2">
        <v>0.251</v>
      </c>
      <c r="L8" s="2">
        <v>0.251</v>
      </c>
      <c r="M8" s="2">
        <v>0.255</v>
      </c>
      <c r="N8" s="5">
        <v>670</v>
      </c>
    </row>
    <row r="9" spans="1:14" x14ac:dyDescent="0.25">
      <c r="A9" s="4" t="s">
        <v>18</v>
      </c>
      <c r="B9" s="2">
        <v>1.496</v>
      </c>
      <c r="C9" s="2">
        <v>1.3180000000000001</v>
      </c>
      <c r="D9" s="2">
        <v>1.4410000000000001</v>
      </c>
      <c r="E9" s="2">
        <v>5.1999999999999998E-2</v>
      </c>
      <c r="F9" s="2">
        <v>5.6000000000000001E-2</v>
      </c>
      <c r="G9" s="2">
        <v>8.3000000000000004E-2</v>
      </c>
      <c r="H9" s="2">
        <v>0.307</v>
      </c>
      <c r="I9" s="2">
        <v>0.35099999999999998</v>
      </c>
      <c r="J9" s="2">
        <v>0.34</v>
      </c>
      <c r="K9" s="2">
        <v>0.21099999999999999</v>
      </c>
      <c r="L9" s="2">
        <v>0.214</v>
      </c>
      <c r="M9" s="2">
        <v>0.20699999999999999</v>
      </c>
      <c r="N9" s="5">
        <v>670</v>
      </c>
    </row>
    <row r="11" spans="1:14" x14ac:dyDescent="0.25">
      <c r="A11" s="3" t="s">
        <v>29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11</v>
      </c>
      <c r="B12" s="8" t="s">
        <v>30</v>
      </c>
      <c r="C12" s="8" t="s">
        <v>30</v>
      </c>
      <c r="D12" s="8" t="s">
        <v>30</v>
      </c>
      <c r="E12" s="8" t="s">
        <v>95</v>
      </c>
      <c r="F12" s="8" t="s">
        <v>95</v>
      </c>
      <c r="G12" s="8" t="s">
        <v>95</v>
      </c>
      <c r="H12" s="8" t="s">
        <v>103</v>
      </c>
      <c r="I12" s="8" t="s">
        <v>103</v>
      </c>
      <c r="J12" s="8" t="s">
        <v>103</v>
      </c>
      <c r="K12" s="8" t="s">
        <v>111</v>
      </c>
      <c r="L12" s="8" t="s">
        <v>111</v>
      </c>
      <c r="M12" s="8" t="s">
        <v>111</v>
      </c>
    </row>
    <row r="13" spans="1:14" x14ac:dyDescent="0.25">
      <c r="A13" s="4" t="s">
        <v>12</v>
      </c>
      <c r="B13" s="8" t="s">
        <v>34</v>
      </c>
      <c r="C13" s="8" t="s">
        <v>34</v>
      </c>
      <c r="D13" s="8" t="s">
        <v>34</v>
      </c>
      <c r="E13" s="8" t="s">
        <v>98</v>
      </c>
      <c r="F13" s="8" t="s">
        <v>98</v>
      </c>
      <c r="G13" s="8" t="s">
        <v>98</v>
      </c>
      <c r="H13" s="8" t="s">
        <v>104</v>
      </c>
      <c r="I13" s="8" t="s">
        <v>104</v>
      </c>
      <c r="J13" s="8" t="s">
        <v>104</v>
      </c>
      <c r="K13" s="8" t="s">
        <v>112</v>
      </c>
      <c r="L13" s="8" t="s">
        <v>112</v>
      </c>
      <c r="M13" s="8" t="s">
        <v>112</v>
      </c>
    </row>
    <row r="14" spans="1:14" x14ac:dyDescent="0.25">
      <c r="A14" s="4" t="s">
        <v>13</v>
      </c>
      <c r="B14" s="8" t="s">
        <v>38</v>
      </c>
      <c r="C14" s="8" t="s">
        <v>38</v>
      </c>
      <c r="D14" s="8" t="s">
        <v>38</v>
      </c>
      <c r="E14" s="8" t="s">
        <v>99</v>
      </c>
      <c r="F14" s="8" t="s">
        <v>99</v>
      </c>
      <c r="G14" s="8" t="s">
        <v>99</v>
      </c>
      <c r="H14" s="8" t="s">
        <v>105</v>
      </c>
      <c r="I14" s="8" t="s">
        <v>105</v>
      </c>
      <c r="J14" s="8" t="s">
        <v>105</v>
      </c>
      <c r="K14" s="8" t="s">
        <v>113</v>
      </c>
      <c r="L14" s="8" t="s">
        <v>113</v>
      </c>
      <c r="M14" s="8" t="s">
        <v>113</v>
      </c>
    </row>
    <row r="15" spans="1:14" x14ac:dyDescent="0.25">
      <c r="A15" s="4" t="s">
        <v>14</v>
      </c>
      <c r="B15" s="8" t="s">
        <v>42</v>
      </c>
      <c r="C15" s="8" t="s">
        <v>42</v>
      </c>
      <c r="D15" s="8" t="s">
        <v>42</v>
      </c>
      <c r="E15" s="8" t="s">
        <v>96</v>
      </c>
      <c r="F15" s="8" t="s">
        <v>96</v>
      </c>
      <c r="G15" s="8" t="s">
        <v>96</v>
      </c>
      <c r="H15" s="8" t="s">
        <v>106</v>
      </c>
      <c r="I15" s="8" t="s">
        <v>106</v>
      </c>
      <c r="J15" s="8" t="s">
        <v>106</v>
      </c>
      <c r="K15" s="8" t="s">
        <v>114</v>
      </c>
      <c r="L15" s="8" t="s">
        <v>114</v>
      </c>
      <c r="M15" s="8" t="s">
        <v>114</v>
      </c>
    </row>
    <row r="16" spans="1:14" x14ac:dyDescent="0.25">
      <c r="A16" s="4" t="s">
        <v>15</v>
      </c>
      <c r="B16" s="8" t="s">
        <v>46</v>
      </c>
      <c r="C16" s="8" t="s">
        <v>46</v>
      </c>
      <c r="D16" s="8" t="s">
        <v>46</v>
      </c>
      <c r="E16" s="8" t="s">
        <v>100</v>
      </c>
      <c r="F16" s="8" t="s">
        <v>100</v>
      </c>
      <c r="G16" s="8" t="s">
        <v>100</v>
      </c>
      <c r="H16" s="8" t="s">
        <v>107</v>
      </c>
      <c r="I16" s="8" t="s">
        <v>107</v>
      </c>
      <c r="J16" s="8" t="s">
        <v>107</v>
      </c>
      <c r="K16" s="8" t="s">
        <v>115</v>
      </c>
      <c r="L16" s="8" t="s">
        <v>115</v>
      </c>
      <c r="M16" s="8" t="s">
        <v>115</v>
      </c>
    </row>
    <row r="17" spans="1:13" x14ac:dyDescent="0.25">
      <c r="A17" s="4" t="s">
        <v>16</v>
      </c>
      <c r="B17" s="8" t="s">
        <v>50</v>
      </c>
      <c r="C17" s="8" t="s">
        <v>50</v>
      </c>
      <c r="D17" s="8" t="s">
        <v>50</v>
      </c>
      <c r="E17" s="8" t="s">
        <v>101</v>
      </c>
      <c r="F17" s="8" t="s">
        <v>101</v>
      </c>
      <c r="G17" s="8" t="s">
        <v>101</v>
      </c>
      <c r="H17" s="8" t="s">
        <v>108</v>
      </c>
      <c r="I17" s="8" t="s">
        <v>108</v>
      </c>
      <c r="J17" s="8" t="s">
        <v>108</v>
      </c>
      <c r="K17" s="8" t="s">
        <v>116</v>
      </c>
      <c r="L17" s="8" t="s">
        <v>116</v>
      </c>
      <c r="M17" s="8" t="s">
        <v>116</v>
      </c>
    </row>
    <row r="18" spans="1:13" x14ac:dyDescent="0.25">
      <c r="A18" s="4" t="s">
        <v>17</v>
      </c>
      <c r="B18" s="8" t="s">
        <v>53</v>
      </c>
      <c r="C18" s="8" t="s">
        <v>53</v>
      </c>
      <c r="D18" s="8" t="s">
        <v>53</v>
      </c>
      <c r="E18" s="8" t="s">
        <v>97</v>
      </c>
      <c r="F18" s="8" t="s">
        <v>97</v>
      </c>
      <c r="G18" s="8" t="s">
        <v>97</v>
      </c>
      <c r="H18" s="8" t="s">
        <v>109</v>
      </c>
      <c r="I18" s="8" t="s">
        <v>109</v>
      </c>
      <c r="J18" s="8" t="s">
        <v>109</v>
      </c>
      <c r="K18" s="8" t="s">
        <v>117</v>
      </c>
      <c r="L18" s="8" t="s">
        <v>117</v>
      </c>
      <c r="M18" s="8" t="s">
        <v>117</v>
      </c>
    </row>
    <row r="19" spans="1:13" x14ac:dyDescent="0.25">
      <c r="A19" s="4" t="s">
        <v>18</v>
      </c>
      <c r="B19" s="8" t="s">
        <v>56</v>
      </c>
      <c r="C19" s="8" t="s">
        <v>56</v>
      </c>
      <c r="D19" s="8" t="s">
        <v>56</v>
      </c>
      <c r="E19" s="8" t="s">
        <v>102</v>
      </c>
      <c r="F19" s="8" t="s">
        <v>102</v>
      </c>
      <c r="G19" s="8" t="s">
        <v>102</v>
      </c>
      <c r="H19" s="8" t="s">
        <v>110</v>
      </c>
      <c r="I19" s="8" t="s">
        <v>110</v>
      </c>
      <c r="J19" s="8" t="s">
        <v>110</v>
      </c>
      <c r="K19" s="8" t="s">
        <v>118</v>
      </c>
      <c r="L19" s="8" t="s">
        <v>118</v>
      </c>
      <c r="M19" s="8" t="s">
        <v>118</v>
      </c>
    </row>
    <row r="21" spans="1:13" ht="30" x14ac:dyDescent="0.25">
      <c r="A21" s="3" t="s">
        <v>58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F644-62EE-41FC-815C-4D8E582023BC}">
  <dimension ref="A1:N29"/>
  <sheetViews>
    <sheetView topLeftCell="A6" workbookViewId="0">
      <selection activeCell="L12" sqref="L12:M19"/>
    </sheetView>
  </sheetViews>
  <sheetFormatPr defaultRowHeight="15" x14ac:dyDescent="0.25"/>
  <sheetData>
    <row r="1" spans="1:14" x14ac:dyDescent="0.25">
      <c r="A1" s="3" t="s">
        <v>7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11</v>
      </c>
      <c r="B2" s="2">
        <v>5.3999999999999999E-2</v>
      </c>
      <c r="C2" s="2">
        <v>5.2999999999999999E-2</v>
      </c>
      <c r="D2" s="2">
        <v>4.9000000000000002E-2</v>
      </c>
      <c r="E2" s="2">
        <v>7.8E-2</v>
      </c>
      <c r="F2" s="2">
        <v>0.08</v>
      </c>
      <c r="G2" s="2">
        <v>7.5999999999999998E-2</v>
      </c>
      <c r="H2" s="2">
        <v>1.849</v>
      </c>
      <c r="I2" s="2">
        <v>1.8520000000000001</v>
      </c>
      <c r="J2" s="2">
        <v>1.9219999999999999</v>
      </c>
      <c r="K2" s="2">
        <v>5.5E-2</v>
      </c>
      <c r="L2" s="2">
        <v>5.1999999999999998E-2</v>
      </c>
      <c r="M2" s="2">
        <v>5.3999999999999999E-2</v>
      </c>
      <c r="N2" s="5">
        <v>670</v>
      </c>
    </row>
    <row r="3" spans="1:14" x14ac:dyDescent="0.25">
      <c r="A3" s="4" t="s">
        <v>12</v>
      </c>
      <c r="B3" s="2">
        <v>0.121</v>
      </c>
      <c r="C3" s="2">
        <v>0.218</v>
      </c>
      <c r="D3" s="2">
        <v>0.127</v>
      </c>
      <c r="E3" s="2">
        <v>0.27100000000000002</v>
      </c>
      <c r="F3" s="2">
        <v>0.30599999999999999</v>
      </c>
      <c r="G3" s="2">
        <v>0.28100000000000003</v>
      </c>
      <c r="H3" s="2">
        <v>7.0000000000000007E-2</v>
      </c>
      <c r="I3" s="2">
        <v>6.5000000000000002E-2</v>
      </c>
      <c r="J3" s="2">
        <v>6.6000000000000003E-2</v>
      </c>
      <c r="K3" s="2">
        <v>5.5E-2</v>
      </c>
      <c r="L3" s="2">
        <v>0.05</v>
      </c>
      <c r="M3" s="2">
        <v>5.0999999999999997E-2</v>
      </c>
      <c r="N3" s="5">
        <v>670</v>
      </c>
    </row>
    <row r="4" spans="1:14" x14ac:dyDescent="0.25">
      <c r="A4" s="4" t="s">
        <v>13</v>
      </c>
      <c r="B4" s="2">
        <v>0.19500000000000001</v>
      </c>
      <c r="C4" s="2">
        <v>0.24299999999999999</v>
      </c>
      <c r="D4" s="2">
        <v>0.252</v>
      </c>
      <c r="E4" s="2">
        <v>0.21099999999999999</v>
      </c>
      <c r="F4" s="2">
        <v>0.23899999999999999</v>
      </c>
      <c r="G4" s="2">
        <v>0.27</v>
      </c>
      <c r="H4" s="2">
        <v>0.88100000000000001</v>
      </c>
      <c r="I4" s="2">
        <v>0.9</v>
      </c>
      <c r="J4" s="2">
        <v>0.93400000000000005</v>
      </c>
      <c r="K4" s="2">
        <v>0.06</v>
      </c>
      <c r="L4" s="2">
        <v>5.7000000000000002E-2</v>
      </c>
      <c r="M4" s="2">
        <v>5.7000000000000002E-2</v>
      </c>
      <c r="N4" s="5">
        <v>670</v>
      </c>
    </row>
    <row r="5" spans="1:14" x14ac:dyDescent="0.25">
      <c r="A5" s="4" t="s">
        <v>14</v>
      </c>
      <c r="B5" s="2">
        <v>0.47399999999999998</v>
      </c>
      <c r="C5" s="2">
        <v>0.56100000000000005</v>
      </c>
      <c r="D5" s="2">
        <v>0.56799999999999995</v>
      </c>
      <c r="E5" s="2">
        <v>0.05</v>
      </c>
      <c r="F5" s="2">
        <v>5.0999999999999997E-2</v>
      </c>
      <c r="G5" s="2">
        <v>0.05</v>
      </c>
      <c r="H5" s="2">
        <v>2.04</v>
      </c>
      <c r="I5" s="2">
        <v>2.0699999999999998</v>
      </c>
      <c r="J5" s="2">
        <v>1.9119999999999999</v>
      </c>
      <c r="K5" s="2">
        <v>6.7000000000000004E-2</v>
      </c>
      <c r="L5" s="2">
        <v>6.7000000000000004E-2</v>
      </c>
      <c r="M5" s="2">
        <v>6.8000000000000005E-2</v>
      </c>
      <c r="N5" s="5">
        <v>670</v>
      </c>
    </row>
    <row r="6" spans="1:14" x14ac:dyDescent="0.25">
      <c r="A6" s="4" t="s">
        <v>15</v>
      </c>
      <c r="B6" s="2">
        <v>0.73599999999999999</v>
      </c>
      <c r="C6" s="2">
        <v>0.78600000000000003</v>
      </c>
      <c r="D6" s="2">
        <v>0.78800000000000003</v>
      </c>
      <c r="E6" s="2">
        <v>0.32400000000000001</v>
      </c>
      <c r="F6" s="2">
        <v>0.33300000000000002</v>
      </c>
      <c r="G6" s="2">
        <v>0.315</v>
      </c>
      <c r="H6" s="2">
        <v>0.06</v>
      </c>
      <c r="I6" s="2">
        <v>5.2999999999999999E-2</v>
      </c>
      <c r="J6" s="2">
        <v>5.2999999999999999E-2</v>
      </c>
      <c r="K6" s="2">
        <v>5.2999999999999999E-2</v>
      </c>
      <c r="L6" s="2">
        <v>5.5E-2</v>
      </c>
      <c r="M6" s="2">
        <v>5.7000000000000002E-2</v>
      </c>
      <c r="N6" s="5">
        <v>670</v>
      </c>
    </row>
    <row r="7" spans="1:14" x14ac:dyDescent="0.25">
      <c r="A7" s="4" t="s">
        <v>16</v>
      </c>
      <c r="B7" s="2">
        <v>1.6259999999999999</v>
      </c>
      <c r="C7" s="2">
        <v>1.33</v>
      </c>
      <c r="D7" s="2">
        <v>1.629</v>
      </c>
      <c r="E7" s="2">
        <v>1.1100000000000001</v>
      </c>
      <c r="F7" s="2">
        <v>1.1140000000000001</v>
      </c>
      <c r="G7" s="2">
        <v>1.0289999999999999</v>
      </c>
      <c r="H7" s="2">
        <v>0.36399999999999999</v>
      </c>
      <c r="I7" s="2">
        <v>0.41699999999999998</v>
      </c>
      <c r="J7" s="2">
        <v>0.42199999999999999</v>
      </c>
      <c r="K7" s="2">
        <v>5.1999999999999998E-2</v>
      </c>
      <c r="L7" s="2">
        <v>5.3999999999999999E-2</v>
      </c>
      <c r="M7" s="2">
        <v>5.5E-2</v>
      </c>
      <c r="N7" s="5">
        <v>670</v>
      </c>
    </row>
    <row r="8" spans="1:14" x14ac:dyDescent="0.25">
      <c r="A8" s="4" t="s">
        <v>17</v>
      </c>
      <c r="B8" s="2">
        <v>1.427</v>
      </c>
      <c r="C8" s="2">
        <v>1.286</v>
      </c>
      <c r="D8" s="2">
        <v>1.4550000000000001</v>
      </c>
      <c r="E8" s="2">
        <v>0.38900000000000001</v>
      </c>
      <c r="F8" s="2">
        <v>0.35699999999999998</v>
      </c>
      <c r="G8" s="2">
        <v>0.35499999999999998</v>
      </c>
      <c r="H8" s="2">
        <v>2.0579999999999998</v>
      </c>
      <c r="I8" s="2">
        <v>1.708</v>
      </c>
      <c r="J8" s="2">
        <v>1.885</v>
      </c>
      <c r="K8" s="2">
        <v>5.5E-2</v>
      </c>
      <c r="L8" s="2">
        <v>5.5E-2</v>
      </c>
      <c r="M8" s="2">
        <v>6.4000000000000001E-2</v>
      </c>
      <c r="N8" s="5">
        <v>670</v>
      </c>
    </row>
    <row r="9" spans="1:14" x14ac:dyDescent="0.25">
      <c r="A9" s="4" t="s">
        <v>18</v>
      </c>
      <c r="B9" s="2">
        <v>1.2729999999999999</v>
      </c>
      <c r="C9" s="2">
        <v>1.373</v>
      </c>
      <c r="D9" s="2">
        <v>1.5389999999999999</v>
      </c>
      <c r="E9" s="2">
        <v>0.56399999999999995</v>
      </c>
      <c r="F9" s="2">
        <v>0.52700000000000002</v>
      </c>
      <c r="G9" s="2">
        <v>0.52</v>
      </c>
      <c r="H9" s="2">
        <v>5.3999999999999999E-2</v>
      </c>
      <c r="I9" s="2">
        <v>5.8000000000000003E-2</v>
      </c>
      <c r="J9" s="2">
        <v>5.3999999999999999E-2</v>
      </c>
      <c r="K9" s="2">
        <v>0.182</v>
      </c>
      <c r="L9" s="2">
        <v>0.29399999999999998</v>
      </c>
      <c r="M9" s="2">
        <v>0.72799999999999998</v>
      </c>
      <c r="N9" s="5">
        <v>670</v>
      </c>
    </row>
    <row r="11" spans="1:14" x14ac:dyDescent="0.25">
      <c r="A11" s="3" t="s">
        <v>29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11</v>
      </c>
      <c r="B12" s="8" t="s">
        <v>30</v>
      </c>
      <c r="C12" s="8" t="s">
        <v>30</v>
      </c>
      <c r="D12" s="8" t="s">
        <v>30</v>
      </c>
      <c r="E12" s="8" t="s">
        <v>119</v>
      </c>
      <c r="F12" s="8" t="s">
        <v>119</v>
      </c>
      <c r="G12" s="8" t="s">
        <v>119</v>
      </c>
      <c r="H12" s="8" t="s">
        <v>127</v>
      </c>
      <c r="I12" s="8" t="s">
        <v>127</v>
      </c>
      <c r="J12" s="8" t="s">
        <v>127</v>
      </c>
      <c r="K12" s="8" t="s">
        <v>135</v>
      </c>
      <c r="L12" s="8" t="s">
        <v>135</v>
      </c>
      <c r="M12" s="8" t="s">
        <v>135</v>
      </c>
    </row>
    <row r="13" spans="1:14" x14ac:dyDescent="0.25">
      <c r="A13" s="4" t="s">
        <v>12</v>
      </c>
      <c r="B13" s="8" t="s">
        <v>34</v>
      </c>
      <c r="C13" s="8" t="s">
        <v>34</v>
      </c>
      <c r="D13" s="8" t="s">
        <v>34</v>
      </c>
      <c r="E13" s="8" t="s">
        <v>120</v>
      </c>
      <c r="F13" s="8" t="s">
        <v>120</v>
      </c>
      <c r="G13" s="8" t="s">
        <v>120</v>
      </c>
      <c r="H13" s="8" t="s">
        <v>130</v>
      </c>
      <c r="I13" s="8" t="s">
        <v>130</v>
      </c>
      <c r="J13" s="8" t="s">
        <v>130</v>
      </c>
      <c r="K13" s="8" t="s">
        <v>138</v>
      </c>
      <c r="L13" s="8" t="s">
        <v>138</v>
      </c>
      <c r="M13" s="8" t="s">
        <v>138</v>
      </c>
    </row>
    <row r="14" spans="1:14" x14ac:dyDescent="0.25">
      <c r="A14" s="4" t="s">
        <v>13</v>
      </c>
      <c r="B14" s="8" t="s">
        <v>38</v>
      </c>
      <c r="C14" s="8" t="s">
        <v>38</v>
      </c>
      <c r="D14" s="8" t="s">
        <v>38</v>
      </c>
      <c r="E14" s="8" t="s">
        <v>121</v>
      </c>
      <c r="F14" s="8" t="s">
        <v>121</v>
      </c>
      <c r="G14" s="8" t="s">
        <v>121</v>
      </c>
      <c r="H14" s="8" t="s">
        <v>131</v>
      </c>
      <c r="I14" s="8" t="s">
        <v>131</v>
      </c>
      <c r="J14" s="8" t="s">
        <v>131</v>
      </c>
      <c r="K14" s="8" t="s">
        <v>139</v>
      </c>
      <c r="L14" s="8" t="s">
        <v>139</v>
      </c>
      <c r="M14" s="8" t="s">
        <v>139</v>
      </c>
    </row>
    <row r="15" spans="1:14" x14ac:dyDescent="0.25">
      <c r="A15" s="4" t="s">
        <v>14</v>
      </c>
      <c r="B15" s="8" t="s">
        <v>42</v>
      </c>
      <c r="C15" s="8" t="s">
        <v>42</v>
      </c>
      <c r="D15" s="8" t="s">
        <v>42</v>
      </c>
      <c r="E15" s="8" t="s">
        <v>122</v>
      </c>
      <c r="F15" s="8" t="s">
        <v>122</v>
      </c>
      <c r="G15" s="8" t="s">
        <v>122</v>
      </c>
      <c r="H15" s="8" t="s">
        <v>128</v>
      </c>
      <c r="I15" s="8" t="s">
        <v>128</v>
      </c>
      <c r="J15" s="8" t="s">
        <v>128</v>
      </c>
      <c r="K15" s="8" t="s">
        <v>136</v>
      </c>
      <c r="L15" s="8" t="s">
        <v>136</v>
      </c>
      <c r="M15" s="8" t="s">
        <v>136</v>
      </c>
    </row>
    <row r="16" spans="1:14" x14ac:dyDescent="0.25">
      <c r="A16" s="4" t="s">
        <v>15</v>
      </c>
      <c r="B16" s="8" t="s">
        <v>46</v>
      </c>
      <c r="C16" s="8" t="s">
        <v>46</v>
      </c>
      <c r="D16" s="8" t="s">
        <v>46</v>
      </c>
      <c r="E16" s="8" t="s">
        <v>123</v>
      </c>
      <c r="F16" s="8" t="s">
        <v>123</v>
      </c>
      <c r="G16" s="8" t="s">
        <v>123</v>
      </c>
      <c r="H16" s="8" t="s">
        <v>132</v>
      </c>
      <c r="I16" s="8" t="s">
        <v>132</v>
      </c>
      <c r="J16" s="8" t="s">
        <v>132</v>
      </c>
      <c r="K16" s="8" t="s">
        <v>140</v>
      </c>
      <c r="L16" s="8" t="s">
        <v>140</v>
      </c>
      <c r="M16" s="8" t="s">
        <v>140</v>
      </c>
    </row>
    <row r="17" spans="1:13" x14ac:dyDescent="0.25">
      <c r="A17" s="4" t="s">
        <v>16</v>
      </c>
      <c r="B17" s="8" t="s">
        <v>50</v>
      </c>
      <c r="C17" s="8" t="s">
        <v>50</v>
      </c>
      <c r="D17" s="8" t="s">
        <v>50</v>
      </c>
      <c r="E17" s="8" t="s">
        <v>124</v>
      </c>
      <c r="F17" s="8" t="s">
        <v>124</v>
      </c>
      <c r="G17" s="8" t="s">
        <v>124</v>
      </c>
      <c r="H17" s="8" t="s">
        <v>133</v>
      </c>
      <c r="I17" s="8" t="s">
        <v>133</v>
      </c>
      <c r="J17" s="8" t="s">
        <v>133</v>
      </c>
      <c r="K17" s="8" t="s">
        <v>141</v>
      </c>
      <c r="L17" s="8" t="s">
        <v>141</v>
      </c>
      <c r="M17" s="8" t="s">
        <v>141</v>
      </c>
    </row>
    <row r="18" spans="1:13" x14ac:dyDescent="0.25">
      <c r="A18" s="4" t="s">
        <v>17</v>
      </c>
      <c r="B18" s="8" t="s">
        <v>53</v>
      </c>
      <c r="C18" s="8" t="s">
        <v>53</v>
      </c>
      <c r="D18" s="8" t="s">
        <v>53</v>
      </c>
      <c r="E18" s="8" t="s">
        <v>125</v>
      </c>
      <c r="F18" s="8" t="s">
        <v>125</v>
      </c>
      <c r="G18" s="8" t="s">
        <v>125</v>
      </c>
      <c r="H18" s="8" t="s">
        <v>129</v>
      </c>
      <c r="I18" s="8" t="s">
        <v>129</v>
      </c>
      <c r="J18" s="8" t="s">
        <v>129</v>
      </c>
      <c r="K18" s="8" t="s">
        <v>142</v>
      </c>
      <c r="L18" s="8" t="s">
        <v>142</v>
      </c>
      <c r="M18" s="8" t="s">
        <v>142</v>
      </c>
    </row>
    <row r="19" spans="1:13" x14ac:dyDescent="0.25">
      <c r="A19" s="4" t="s">
        <v>18</v>
      </c>
      <c r="B19" s="8" t="s">
        <v>56</v>
      </c>
      <c r="C19" s="8" t="s">
        <v>56</v>
      </c>
      <c r="D19" s="8" t="s">
        <v>56</v>
      </c>
      <c r="E19" s="8" t="s">
        <v>126</v>
      </c>
      <c r="F19" s="8" t="s">
        <v>126</v>
      </c>
      <c r="G19" s="8" t="s">
        <v>126</v>
      </c>
      <c r="H19" s="8" t="s">
        <v>134</v>
      </c>
      <c r="I19" s="8" t="s">
        <v>134</v>
      </c>
      <c r="J19" s="8" t="s">
        <v>134</v>
      </c>
      <c r="K19" s="8" t="s">
        <v>143</v>
      </c>
      <c r="L19" s="8" t="s">
        <v>143</v>
      </c>
      <c r="M19" s="8" t="s">
        <v>143</v>
      </c>
    </row>
    <row r="21" spans="1:13" ht="30" x14ac:dyDescent="0.25">
      <c r="A21" s="3" t="s">
        <v>58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41BE-DE62-40FB-A2F6-5A1526EA02C6}">
  <dimension ref="A1:N29"/>
  <sheetViews>
    <sheetView workbookViewId="0">
      <selection activeCell="L12" sqref="L12:M19"/>
    </sheetView>
  </sheetViews>
  <sheetFormatPr defaultRowHeight="15" x14ac:dyDescent="0.25"/>
  <sheetData>
    <row r="1" spans="1:14" x14ac:dyDescent="0.25">
      <c r="A1" s="3" t="s">
        <v>24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11</v>
      </c>
      <c r="B2" s="2">
        <v>5.0999999999999997E-2</v>
      </c>
      <c r="C2" s="2">
        <v>0.05</v>
      </c>
      <c r="D2" s="2">
        <v>5.0999999999999997E-2</v>
      </c>
      <c r="E2" s="2">
        <v>6.3E-2</v>
      </c>
      <c r="F2" s="2">
        <v>6.6000000000000003E-2</v>
      </c>
      <c r="G2" s="2">
        <v>6.4000000000000001E-2</v>
      </c>
      <c r="H2" s="2">
        <v>5.8000000000000003E-2</v>
      </c>
      <c r="I2" s="2">
        <v>5.7000000000000002E-2</v>
      </c>
      <c r="J2" s="2">
        <v>0.06</v>
      </c>
      <c r="K2" s="2">
        <v>0.377</v>
      </c>
      <c r="L2" s="2">
        <v>0.40500000000000003</v>
      </c>
      <c r="M2" s="2">
        <v>0.39200000000000002</v>
      </c>
      <c r="N2" s="5">
        <v>670</v>
      </c>
    </row>
    <row r="3" spans="1:14" x14ac:dyDescent="0.25">
      <c r="A3" s="4" t="s">
        <v>12</v>
      </c>
      <c r="B3" s="2">
        <v>0.13200000000000001</v>
      </c>
      <c r="C3" s="2">
        <v>0.109</v>
      </c>
      <c r="D3" s="2">
        <v>0.107</v>
      </c>
      <c r="E3" s="2">
        <v>5.3999999999999999E-2</v>
      </c>
      <c r="F3" s="2">
        <v>6.2E-2</v>
      </c>
      <c r="G3" s="2">
        <v>5.8000000000000003E-2</v>
      </c>
      <c r="H3" s="2">
        <v>0.94499999999999995</v>
      </c>
      <c r="I3" s="2">
        <v>0.92200000000000004</v>
      </c>
      <c r="J3" s="2">
        <v>1.002</v>
      </c>
      <c r="K3" s="2">
        <v>0.221</v>
      </c>
      <c r="L3" s="2">
        <v>0.247</v>
      </c>
      <c r="M3" s="2">
        <v>0.218</v>
      </c>
      <c r="N3" s="5">
        <v>670</v>
      </c>
    </row>
    <row r="4" spans="1:14" x14ac:dyDescent="0.25">
      <c r="A4" s="4" t="s">
        <v>13</v>
      </c>
      <c r="B4" s="2">
        <v>0.25600000000000001</v>
      </c>
      <c r="C4" s="2">
        <v>0.29199999999999998</v>
      </c>
      <c r="D4" s="2">
        <v>0.251</v>
      </c>
      <c r="E4" s="2">
        <v>1.538</v>
      </c>
      <c r="F4" s="2">
        <v>1.4750000000000001</v>
      </c>
      <c r="G4" s="2">
        <v>1.474</v>
      </c>
      <c r="H4" s="2">
        <v>6.2E-2</v>
      </c>
      <c r="I4" s="2">
        <v>5.8999999999999997E-2</v>
      </c>
      <c r="J4" s="2">
        <v>6.0999999999999999E-2</v>
      </c>
      <c r="K4" s="2">
        <v>0.13200000000000001</v>
      </c>
      <c r="L4" s="2">
        <v>0.127</v>
      </c>
      <c r="M4" s="2">
        <v>0.14599999999999999</v>
      </c>
      <c r="N4" s="5">
        <v>670</v>
      </c>
    </row>
    <row r="5" spans="1:14" x14ac:dyDescent="0.25">
      <c r="A5" s="4" t="s">
        <v>14</v>
      </c>
      <c r="B5" s="2">
        <v>0.53400000000000003</v>
      </c>
      <c r="C5" s="2">
        <v>0.57299999999999995</v>
      </c>
      <c r="D5" s="2">
        <v>0.60599999999999998</v>
      </c>
      <c r="E5" s="2">
        <v>0.16400000000000001</v>
      </c>
      <c r="F5" s="2">
        <v>0.16200000000000001</v>
      </c>
      <c r="G5" s="2">
        <v>0.16700000000000001</v>
      </c>
      <c r="H5" s="2">
        <v>0.10199999999999999</v>
      </c>
      <c r="I5" s="2">
        <v>0.106</v>
      </c>
      <c r="J5" s="2">
        <v>0.105</v>
      </c>
      <c r="K5" s="2">
        <v>0.16300000000000001</v>
      </c>
      <c r="L5" s="2">
        <v>0.155</v>
      </c>
      <c r="M5" s="2">
        <v>0.156</v>
      </c>
      <c r="N5" s="5">
        <v>670</v>
      </c>
    </row>
    <row r="6" spans="1:14" x14ac:dyDescent="0.25">
      <c r="A6" s="4" t="s">
        <v>15</v>
      </c>
      <c r="B6" s="2">
        <v>0.74199999999999999</v>
      </c>
      <c r="C6" s="2">
        <v>0.81399999999999995</v>
      </c>
      <c r="D6" s="2">
        <v>0.8</v>
      </c>
      <c r="E6" s="2">
        <v>5.7000000000000002E-2</v>
      </c>
      <c r="F6" s="2">
        <v>6.0999999999999999E-2</v>
      </c>
      <c r="G6" s="2">
        <v>5.7000000000000002E-2</v>
      </c>
      <c r="H6" s="2">
        <v>0.161</v>
      </c>
      <c r="I6" s="2">
        <v>0.155</v>
      </c>
      <c r="J6" s="2">
        <v>0.14899999999999999</v>
      </c>
      <c r="K6" s="2">
        <v>8.7999999999999995E-2</v>
      </c>
      <c r="L6" s="2">
        <v>8.5999999999999993E-2</v>
      </c>
      <c r="M6" s="2">
        <v>0.115</v>
      </c>
      <c r="N6" s="5">
        <v>670</v>
      </c>
    </row>
    <row r="7" spans="1:14" x14ac:dyDescent="0.25">
      <c r="A7" s="4" t="s">
        <v>16</v>
      </c>
      <c r="B7" s="2">
        <v>1.3839999999999999</v>
      </c>
      <c r="C7" s="2">
        <v>1.2989999999999999</v>
      </c>
      <c r="D7" s="2">
        <v>1.22</v>
      </c>
      <c r="E7" s="2">
        <v>8.3000000000000004E-2</v>
      </c>
      <c r="F7" s="2">
        <v>7.8E-2</v>
      </c>
      <c r="G7" s="2">
        <v>8.6999999999999994E-2</v>
      </c>
      <c r="H7" s="2">
        <v>0.14299999999999999</v>
      </c>
      <c r="I7" s="2">
        <v>0.152</v>
      </c>
      <c r="J7" s="2">
        <v>0.14199999999999999</v>
      </c>
      <c r="K7" s="2">
        <v>5.1999999999999998E-2</v>
      </c>
      <c r="L7" s="2">
        <v>5.5E-2</v>
      </c>
      <c r="M7" s="2">
        <v>5.2999999999999999E-2</v>
      </c>
      <c r="N7" s="5">
        <v>670</v>
      </c>
    </row>
    <row r="8" spans="1:14" x14ac:dyDescent="0.25">
      <c r="A8" s="4" t="s">
        <v>17</v>
      </c>
      <c r="B8" s="2">
        <v>1.4039999999999999</v>
      </c>
      <c r="C8" s="2">
        <v>1.335</v>
      </c>
      <c r="D8" s="2">
        <v>1.5229999999999999</v>
      </c>
      <c r="E8" s="2">
        <v>2.3969999999999998</v>
      </c>
      <c r="F8" s="2">
        <v>2.274</v>
      </c>
      <c r="G8" s="2">
        <v>2.4550000000000001</v>
      </c>
      <c r="H8" s="2">
        <v>0.13600000000000001</v>
      </c>
      <c r="I8" s="2">
        <v>0.13800000000000001</v>
      </c>
      <c r="J8" s="2">
        <v>0.13100000000000001</v>
      </c>
      <c r="K8" s="2">
        <v>5.0999999999999997E-2</v>
      </c>
      <c r="L8" s="2">
        <v>5.3999999999999999E-2</v>
      </c>
      <c r="M8" s="2">
        <v>5.0999999999999997E-2</v>
      </c>
      <c r="N8" s="5">
        <v>670</v>
      </c>
    </row>
    <row r="9" spans="1:14" x14ac:dyDescent="0.25">
      <c r="A9" s="4" t="s">
        <v>18</v>
      </c>
      <c r="B9" s="2">
        <v>1.2689999999999999</v>
      </c>
      <c r="C9" s="2">
        <v>1.32</v>
      </c>
      <c r="D9" s="2">
        <v>1.4810000000000001</v>
      </c>
      <c r="E9" s="2">
        <v>0.432</v>
      </c>
      <c r="F9" s="2">
        <v>0.51400000000000001</v>
      </c>
      <c r="G9" s="2">
        <v>0.50700000000000001</v>
      </c>
      <c r="H9" s="2">
        <v>0.42599999999999999</v>
      </c>
      <c r="I9" s="2">
        <v>0.4</v>
      </c>
      <c r="J9" s="2">
        <v>0.41699999999999998</v>
      </c>
      <c r="K9" s="2">
        <v>5.2999999999999999E-2</v>
      </c>
      <c r="L9" s="2">
        <v>5.1999999999999998E-2</v>
      </c>
      <c r="M9" s="2">
        <v>5.3999999999999999E-2</v>
      </c>
      <c r="N9" s="5">
        <v>670</v>
      </c>
    </row>
    <row r="11" spans="1:14" x14ac:dyDescent="0.25">
      <c r="A11" s="3" t="s">
        <v>29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11</v>
      </c>
      <c r="B12" s="8" t="s">
        <v>30</v>
      </c>
      <c r="C12" s="8" t="s">
        <v>30</v>
      </c>
      <c r="D12" s="8" t="s">
        <v>30</v>
      </c>
      <c r="E12" s="8" t="s">
        <v>137</v>
      </c>
      <c r="F12" s="8" t="s">
        <v>137</v>
      </c>
      <c r="G12" s="8" t="s">
        <v>137</v>
      </c>
      <c r="H12" s="8" t="s">
        <v>150</v>
      </c>
      <c r="I12" s="8" t="s">
        <v>150</v>
      </c>
      <c r="J12" s="8" t="s">
        <v>150</v>
      </c>
      <c r="K12" s="8" t="s">
        <v>158</v>
      </c>
      <c r="L12" s="8" t="s">
        <v>158</v>
      </c>
      <c r="M12" s="8" t="s">
        <v>158</v>
      </c>
    </row>
    <row r="13" spans="1:14" x14ac:dyDescent="0.25">
      <c r="A13" s="4" t="s">
        <v>12</v>
      </c>
      <c r="B13" s="8" t="s">
        <v>34</v>
      </c>
      <c r="C13" s="8" t="s">
        <v>34</v>
      </c>
      <c r="D13" s="8" t="s">
        <v>34</v>
      </c>
      <c r="E13" s="8" t="s">
        <v>144</v>
      </c>
      <c r="F13" s="8" t="s">
        <v>144</v>
      </c>
      <c r="G13" s="8" t="s">
        <v>144</v>
      </c>
      <c r="H13" s="8" t="s">
        <v>151</v>
      </c>
      <c r="I13" s="8" t="s">
        <v>151</v>
      </c>
      <c r="J13" s="8" t="s">
        <v>151</v>
      </c>
      <c r="K13" s="8" t="s">
        <v>159</v>
      </c>
      <c r="L13" s="8" t="s">
        <v>159</v>
      </c>
      <c r="M13" s="8" t="s">
        <v>159</v>
      </c>
    </row>
    <row r="14" spans="1:14" x14ac:dyDescent="0.25">
      <c r="A14" s="4" t="s">
        <v>13</v>
      </c>
      <c r="B14" s="8" t="s">
        <v>38</v>
      </c>
      <c r="C14" s="8" t="s">
        <v>38</v>
      </c>
      <c r="D14" s="8" t="s">
        <v>38</v>
      </c>
      <c r="E14" s="8" t="s">
        <v>145</v>
      </c>
      <c r="F14" s="8" t="s">
        <v>145</v>
      </c>
      <c r="G14" s="8" t="s">
        <v>145</v>
      </c>
      <c r="H14" s="8" t="s">
        <v>152</v>
      </c>
      <c r="I14" s="8" t="s">
        <v>152</v>
      </c>
      <c r="J14" s="8" t="s">
        <v>152</v>
      </c>
      <c r="K14" s="8" t="s">
        <v>160</v>
      </c>
      <c r="L14" s="8" t="s">
        <v>160</v>
      </c>
      <c r="M14" s="8" t="s">
        <v>160</v>
      </c>
    </row>
    <row r="15" spans="1:14" x14ac:dyDescent="0.25">
      <c r="A15" s="4" t="s">
        <v>14</v>
      </c>
      <c r="B15" s="8" t="s">
        <v>42</v>
      </c>
      <c r="C15" s="8" t="s">
        <v>42</v>
      </c>
      <c r="D15" s="8" t="s">
        <v>42</v>
      </c>
      <c r="E15" s="8" t="s">
        <v>146</v>
      </c>
      <c r="F15" s="8" t="s">
        <v>146</v>
      </c>
      <c r="G15" s="8" t="s">
        <v>146</v>
      </c>
      <c r="H15" s="8" t="s">
        <v>153</v>
      </c>
      <c r="I15" s="8" t="s">
        <v>153</v>
      </c>
      <c r="J15" s="8" t="s">
        <v>153</v>
      </c>
      <c r="K15" s="8" t="s">
        <v>161</v>
      </c>
      <c r="L15" s="8" t="s">
        <v>161</v>
      </c>
      <c r="M15" s="8" t="s">
        <v>161</v>
      </c>
    </row>
    <row r="16" spans="1:14" x14ac:dyDescent="0.25">
      <c r="A16" s="4" t="s">
        <v>15</v>
      </c>
      <c r="B16" s="8" t="s">
        <v>46</v>
      </c>
      <c r="C16" s="8" t="s">
        <v>46</v>
      </c>
      <c r="D16" s="8" t="s">
        <v>46</v>
      </c>
      <c r="E16" s="8" t="s">
        <v>147</v>
      </c>
      <c r="F16" s="8" t="s">
        <v>147</v>
      </c>
      <c r="G16" s="8" t="s">
        <v>147</v>
      </c>
      <c r="H16" s="8" t="s">
        <v>154</v>
      </c>
      <c r="I16" s="8" t="s">
        <v>154</v>
      </c>
      <c r="J16" s="8" t="s">
        <v>154</v>
      </c>
      <c r="K16" s="8" t="s">
        <v>162</v>
      </c>
      <c r="L16" s="8" t="s">
        <v>162</v>
      </c>
      <c r="M16" s="8" t="s">
        <v>162</v>
      </c>
    </row>
    <row r="17" spans="1:13" x14ac:dyDescent="0.25">
      <c r="A17" s="4" t="s">
        <v>16</v>
      </c>
      <c r="B17" s="8" t="s">
        <v>50</v>
      </c>
      <c r="C17" s="8" t="s">
        <v>50</v>
      </c>
      <c r="D17" s="8" t="s">
        <v>50</v>
      </c>
      <c r="E17" s="8" t="s">
        <v>148</v>
      </c>
      <c r="F17" s="8" t="s">
        <v>148</v>
      </c>
      <c r="G17" s="8" t="s">
        <v>148</v>
      </c>
      <c r="H17" s="8" t="s">
        <v>155</v>
      </c>
      <c r="I17" s="8" t="s">
        <v>155</v>
      </c>
      <c r="J17" s="8" t="s">
        <v>155</v>
      </c>
      <c r="K17" s="8" t="s">
        <v>163</v>
      </c>
      <c r="L17" s="8" t="s">
        <v>163</v>
      </c>
      <c r="M17" s="8" t="s">
        <v>163</v>
      </c>
    </row>
    <row r="18" spans="1:13" x14ac:dyDescent="0.25">
      <c r="A18" s="4" t="s">
        <v>17</v>
      </c>
      <c r="B18" s="8" t="s">
        <v>53</v>
      </c>
      <c r="C18" s="8" t="s">
        <v>53</v>
      </c>
      <c r="D18" s="8" t="s">
        <v>53</v>
      </c>
      <c r="E18" s="8" t="s">
        <v>55</v>
      </c>
      <c r="F18" s="8" t="s">
        <v>55</v>
      </c>
      <c r="G18" s="8" t="s">
        <v>55</v>
      </c>
      <c r="H18" s="8" t="s">
        <v>156</v>
      </c>
      <c r="I18" s="8" t="s">
        <v>156</v>
      </c>
      <c r="J18" s="8" t="s">
        <v>156</v>
      </c>
      <c r="K18" s="8" t="s">
        <v>164</v>
      </c>
      <c r="L18" s="8" t="s">
        <v>164</v>
      </c>
      <c r="M18" s="8" t="s">
        <v>164</v>
      </c>
    </row>
    <row r="19" spans="1:13" x14ac:dyDescent="0.25">
      <c r="A19" s="4" t="s">
        <v>18</v>
      </c>
      <c r="B19" s="8" t="s">
        <v>56</v>
      </c>
      <c r="C19" s="8" t="s">
        <v>56</v>
      </c>
      <c r="D19" s="8" t="s">
        <v>56</v>
      </c>
      <c r="E19" s="8" t="s">
        <v>149</v>
      </c>
      <c r="F19" s="8" t="s">
        <v>149</v>
      </c>
      <c r="G19" s="8" t="s">
        <v>149</v>
      </c>
      <c r="H19" s="8" t="s">
        <v>157</v>
      </c>
      <c r="I19" s="8" t="s">
        <v>157</v>
      </c>
      <c r="J19" s="8" t="s">
        <v>157</v>
      </c>
      <c r="K19" s="8" t="s">
        <v>165</v>
      </c>
      <c r="L19" s="8" t="s">
        <v>165</v>
      </c>
      <c r="M19" s="8" t="s">
        <v>165</v>
      </c>
    </row>
    <row r="21" spans="1:13" ht="30" x14ac:dyDescent="0.25">
      <c r="A21" s="3" t="s">
        <v>58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F535-F0A6-4531-8F41-C5186BE1C197}">
  <dimension ref="A1:N29"/>
  <sheetViews>
    <sheetView topLeftCell="A6" workbookViewId="0">
      <selection activeCell="L12" sqref="L12:M19"/>
    </sheetView>
  </sheetViews>
  <sheetFormatPr defaultRowHeight="15" x14ac:dyDescent="0.25"/>
  <sheetData>
    <row r="1" spans="1:14" x14ac:dyDescent="0.25">
      <c r="A1" s="3" t="s">
        <v>25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11</v>
      </c>
      <c r="B2" s="2">
        <v>4.9000000000000002E-2</v>
      </c>
      <c r="C2" s="2">
        <v>5.0999999999999997E-2</v>
      </c>
      <c r="D2" s="2">
        <v>0.05</v>
      </c>
      <c r="E2" s="2">
        <v>5.6000000000000001E-2</v>
      </c>
      <c r="F2" s="2">
        <v>6.4000000000000001E-2</v>
      </c>
      <c r="G2" s="2">
        <v>5.7000000000000002E-2</v>
      </c>
      <c r="H2" s="2">
        <v>0.06</v>
      </c>
      <c r="I2" s="2">
        <v>6.3E-2</v>
      </c>
      <c r="J2" s="2">
        <v>5.8999999999999997E-2</v>
      </c>
      <c r="K2" s="2">
        <v>7.1999999999999995E-2</v>
      </c>
      <c r="L2" s="2">
        <v>7.0999999999999994E-2</v>
      </c>
      <c r="M2" s="2">
        <v>7.5999999999999998E-2</v>
      </c>
      <c r="N2" s="5">
        <v>670</v>
      </c>
    </row>
    <row r="3" spans="1:14" x14ac:dyDescent="0.25">
      <c r="A3" s="4" t="s">
        <v>12</v>
      </c>
      <c r="B3" s="2">
        <v>0.14499999999999999</v>
      </c>
      <c r="C3" s="2">
        <v>0.14199999999999999</v>
      </c>
      <c r="D3" s="2">
        <v>0.123</v>
      </c>
      <c r="E3" s="2">
        <v>5.7000000000000002E-2</v>
      </c>
      <c r="F3" s="2">
        <v>5.8000000000000003E-2</v>
      </c>
      <c r="G3" s="2">
        <v>5.5E-2</v>
      </c>
      <c r="H3" s="2">
        <v>1.5669999999999999</v>
      </c>
      <c r="I3" s="2">
        <v>1.38</v>
      </c>
      <c r="J3" s="2">
        <v>1.464</v>
      </c>
      <c r="K3" s="2">
        <v>2.5790000000000002</v>
      </c>
      <c r="L3" s="2">
        <v>2.5920000000000001</v>
      </c>
      <c r="M3" s="2">
        <v>2.452</v>
      </c>
      <c r="N3" s="5">
        <v>670</v>
      </c>
    </row>
    <row r="4" spans="1:14" x14ac:dyDescent="0.25">
      <c r="A4" s="4" t="s">
        <v>13</v>
      </c>
      <c r="B4" s="2">
        <v>0.21199999999999999</v>
      </c>
      <c r="C4" s="2">
        <v>0.247</v>
      </c>
      <c r="D4" s="2">
        <v>0.23100000000000001</v>
      </c>
      <c r="E4" s="2">
        <v>6.0999999999999999E-2</v>
      </c>
      <c r="F4" s="2">
        <v>0.06</v>
      </c>
      <c r="G4" s="2">
        <v>5.8000000000000003E-2</v>
      </c>
      <c r="H4" s="2">
        <v>2.3889999999999998</v>
      </c>
      <c r="I4" s="2">
        <v>1.9810000000000001</v>
      </c>
      <c r="J4" s="2">
        <v>2.0209999999999999</v>
      </c>
      <c r="K4" s="2">
        <v>2.3849999999999998</v>
      </c>
      <c r="L4" s="2">
        <v>2.214</v>
      </c>
      <c r="M4" s="2">
        <v>2.3180000000000001</v>
      </c>
      <c r="N4" s="5">
        <v>670</v>
      </c>
    </row>
    <row r="5" spans="1:14" x14ac:dyDescent="0.25">
      <c r="A5" s="4" t="s">
        <v>14</v>
      </c>
      <c r="B5" s="2">
        <v>0.45900000000000002</v>
      </c>
      <c r="C5" s="2">
        <v>0.53100000000000003</v>
      </c>
      <c r="D5" s="2">
        <v>0.51100000000000001</v>
      </c>
      <c r="E5" s="2">
        <v>5.7000000000000002E-2</v>
      </c>
      <c r="F5" s="2">
        <v>5.7000000000000002E-2</v>
      </c>
      <c r="G5" s="2">
        <v>5.8999999999999997E-2</v>
      </c>
      <c r="H5" s="2">
        <v>1.9990000000000001</v>
      </c>
      <c r="I5" s="2">
        <v>2.1110000000000002</v>
      </c>
      <c r="J5" s="2">
        <v>2.06</v>
      </c>
      <c r="K5" s="2">
        <v>6.6000000000000003E-2</v>
      </c>
      <c r="L5" s="2">
        <v>6.6000000000000003E-2</v>
      </c>
      <c r="M5" s="2">
        <v>6.6000000000000003E-2</v>
      </c>
      <c r="N5" s="5">
        <v>670</v>
      </c>
    </row>
    <row r="6" spans="1:14" x14ac:dyDescent="0.25">
      <c r="A6" s="4" t="s">
        <v>15</v>
      </c>
      <c r="B6" s="2">
        <v>1.03</v>
      </c>
      <c r="C6" s="2">
        <v>0.83899999999999997</v>
      </c>
      <c r="D6" s="2">
        <v>0.83699999999999997</v>
      </c>
      <c r="E6" s="2">
        <v>5.0999999999999997E-2</v>
      </c>
      <c r="F6" s="2">
        <v>6.5000000000000002E-2</v>
      </c>
      <c r="G6" s="2">
        <v>5.1999999999999998E-2</v>
      </c>
      <c r="H6" s="2">
        <v>2.7989999999999999</v>
      </c>
      <c r="I6" s="2">
        <v>2.5739999999999998</v>
      </c>
      <c r="J6" s="2">
        <v>2.3839999999999999</v>
      </c>
      <c r="K6" s="2">
        <v>0.1</v>
      </c>
      <c r="L6" s="2">
        <v>0.112</v>
      </c>
      <c r="M6" s="2">
        <v>0.109</v>
      </c>
      <c r="N6" s="5">
        <v>670</v>
      </c>
    </row>
    <row r="7" spans="1:14" x14ac:dyDescent="0.25">
      <c r="A7" s="4" t="s">
        <v>16</v>
      </c>
      <c r="B7" s="2">
        <v>1.347</v>
      </c>
      <c r="C7" s="2">
        <v>1.486</v>
      </c>
      <c r="D7" s="2">
        <v>1.331</v>
      </c>
      <c r="E7" s="2">
        <v>5.6000000000000001E-2</v>
      </c>
      <c r="F7" s="2">
        <v>0.06</v>
      </c>
      <c r="G7" s="2">
        <v>5.8999999999999997E-2</v>
      </c>
      <c r="H7" s="2">
        <v>2.77</v>
      </c>
      <c r="I7" s="2">
        <v>2.57</v>
      </c>
      <c r="J7" s="2">
        <v>2.41</v>
      </c>
      <c r="K7" s="2">
        <v>0.129</v>
      </c>
      <c r="L7" s="2">
        <v>0.124</v>
      </c>
      <c r="M7" s="2">
        <v>0.127</v>
      </c>
      <c r="N7" s="5">
        <v>670</v>
      </c>
    </row>
    <row r="8" spans="1:14" x14ac:dyDescent="0.25">
      <c r="A8" s="4" t="s">
        <v>17</v>
      </c>
      <c r="B8" s="2">
        <v>1.4330000000000001</v>
      </c>
      <c r="C8" s="2">
        <v>1.321</v>
      </c>
      <c r="D8" s="2">
        <v>1.36</v>
      </c>
      <c r="E8" s="2">
        <v>5.5E-2</v>
      </c>
      <c r="F8" s="2">
        <v>5.6000000000000001E-2</v>
      </c>
      <c r="G8" s="2">
        <v>5.2999999999999999E-2</v>
      </c>
      <c r="H8" s="2">
        <v>1.133</v>
      </c>
      <c r="I8" s="2">
        <v>1.097</v>
      </c>
      <c r="J8" s="2">
        <v>1.208</v>
      </c>
      <c r="K8" s="2">
        <v>8.2000000000000003E-2</v>
      </c>
      <c r="L8" s="2">
        <v>0.08</v>
      </c>
      <c r="M8" s="2">
        <v>7.6999999999999999E-2</v>
      </c>
      <c r="N8" s="5">
        <v>670</v>
      </c>
    </row>
    <row r="9" spans="1:14" x14ac:dyDescent="0.25">
      <c r="A9" s="4" t="s">
        <v>18</v>
      </c>
      <c r="B9" s="2">
        <v>1.3720000000000001</v>
      </c>
      <c r="C9" s="2">
        <v>1.321</v>
      </c>
      <c r="D9" s="2">
        <v>1.407</v>
      </c>
      <c r="E9" s="2">
        <v>5.8000000000000003E-2</v>
      </c>
      <c r="F9" s="2">
        <v>6.0999999999999999E-2</v>
      </c>
      <c r="G9" s="2">
        <v>6.3E-2</v>
      </c>
      <c r="H9" s="2">
        <v>1.3839999999999999</v>
      </c>
      <c r="I9" s="2">
        <v>1.4850000000000001</v>
      </c>
      <c r="J9" s="2">
        <v>1.5720000000000001</v>
      </c>
      <c r="K9" s="2">
        <v>9.0999999999999998E-2</v>
      </c>
      <c r="L9" s="2">
        <v>9.0999999999999998E-2</v>
      </c>
      <c r="M9" s="2">
        <v>9.0999999999999998E-2</v>
      </c>
      <c r="N9" s="5">
        <v>670</v>
      </c>
    </row>
    <row r="11" spans="1:14" x14ac:dyDescent="0.25">
      <c r="A11" s="3" t="s">
        <v>29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11</v>
      </c>
      <c r="B12" s="8" t="s">
        <v>30</v>
      </c>
      <c r="C12" s="8" t="s">
        <v>30</v>
      </c>
      <c r="D12" s="8" t="s">
        <v>30</v>
      </c>
      <c r="E12" s="8" t="s">
        <v>166</v>
      </c>
      <c r="F12" s="8" t="s">
        <v>166</v>
      </c>
      <c r="G12" s="8" t="s">
        <v>166</v>
      </c>
      <c r="H12" s="8" t="s">
        <v>47</v>
      </c>
      <c r="I12" s="8" t="s">
        <v>47</v>
      </c>
      <c r="J12" s="8" t="s">
        <v>47</v>
      </c>
      <c r="K12" s="8" t="s">
        <v>51</v>
      </c>
      <c r="L12" s="8" t="s">
        <v>51</v>
      </c>
      <c r="M12" s="8" t="s">
        <v>51</v>
      </c>
    </row>
    <row r="13" spans="1:14" x14ac:dyDescent="0.25">
      <c r="A13" s="4" t="s">
        <v>12</v>
      </c>
      <c r="B13" s="8" t="s">
        <v>34</v>
      </c>
      <c r="C13" s="8" t="s">
        <v>34</v>
      </c>
      <c r="D13" s="8" t="s">
        <v>34</v>
      </c>
      <c r="E13" s="8" t="s">
        <v>167</v>
      </c>
      <c r="F13" s="8" t="s">
        <v>167</v>
      </c>
      <c r="G13" s="8" t="s">
        <v>167</v>
      </c>
      <c r="H13" s="8" t="s">
        <v>32</v>
      </c>
      <c r="I13" s="8" t="s">
        <v>32</v>
      </c>
      <c r="J13" s="8" t="s">
        <v>32</v>
      </c>
      <c r="K13" s="8" t="s">
        <v>54</v>
      </c>
      <c r="L13" s="8" t="s">
        <v>54</v>
      </c>
      <c r="M13" s="8" t="s">
        <v>54</v>
      </c>
    </row>
    <row r="14" spans="1:14" x14ac:dyDescent="0.25">
      <c r="A14" s="4" t="s">
        <v>13</v>
      </c>
      <c r="B14" s="8" t="s">
        <v>38</v>
      </c>
      <c r="C14" s="8" t="s">
        <v>38</v>
      </c>
      <c r="D14" s="8" t="s">
        <v>38</v>
      </c>
      <c r="E14" s="8" t="s">
        <v>168</v>
      </c>
      <c r="F14" s="8" t="s">
        <v>168</v>
      </c>
      <c r="G14" s="8" t="s">
        <v>168</v>
      </c>
      <c r="H14" s="8" t="s">
        <v>36</v>
      </c>
      <c r="I14" s="8" t="s">
        <v>36</v>
      </c>
      <c r="J14" s="8" t="s">
        <v>36</v>
      </c>
      <c r="K14" s="8" t="s">
        <v>57</v>
      </c>
      <c r="L14" s="8" t="s">
        <v>57</v>
      </c>
      <c r="M14" s="8" t="s">
        <v>57</v>
      </c>
    </row>
    <row r="15" spans="1:14" x14ac:dyDescent="0.25">
      <c r="A15" s="4" t="s">
        <v>14</v>
      </c>
      <c r="B15" s="8" t="s">
        <v>42</v>
      </c>
      <c r="C15" s="8" t="s">
        <v>42</v>
      </c>
      <c r="D15" s="8" t="s">
        <v>42</v>
      </c>
      <c r="E15" s="8" t="s">
        <v>169</v>
      </c>
      <c r="F15" s="8" t="s">
        <v>169</v>
      </c>
      <c r="G15" s="8" t="s">
        <v>169</v>
      </c>
      <c r="H15" s="8" t="s">
        <v>40</v>
      </c>
      <c r="I15" s="8" t="s">
        <v>40</v>
      </c>
      <c r="J15" s="8" t="s">
        <v>40</v>
      </c>
      <c r="K15" s="8" t="s">
        <v>172</v>
      </c>
      <c r="L15" s="8" t="s">
        <v>172</v>
      </c>
      <c r="M15" s="8" t="s">
        <v>172</v>
      </c>
    </row>
    <row r="16" spans="1:14" x14ac:dyDescent="0.25">
      <c r="A16" s="4" t="s">
        <v>15</v>
      </c>
      <c r="B16" s="8" t="s">
        <v>46</v>
      </c>
      <c r="C16" s="8" t="s">
        <v>46</v>
      </c>
      <c r="D16" s="8" t="s">
        <v>46</v>
      </c>
      <c r="E16" s="8" t="s">
        <v>31</v>
      </c>
      <c r="F16" s="8" t="s">
        <v>31</v>
      </c>
      <c r="G16" s="8" t="s">
        <v>31</v>
      </c>
      <c r="H16" s="8" t="s">
        <v>44</v>
      </c>
      <c r="I16" s="8" t="s">
        <v>44</v>
      </c>
      <c r="J16" s="8" t="s">
        <v>44</v>
      </c>
      <c r="K16" s="8" t="s">
        <v>173</v>
      </c>
      <c r="L16" s="8" t="s">
        <v>173</v>
      </c>
      <c r="M16" s="8" t="s">
        <v>173</v>
      </c>
    </row>
    <row r="17" spans="1:13" x14ac:dyDescent="0.25">
      <c r="A17" s="4" t="s">
        <v>16</v>
      </c>
      <c r="B17" s="8" t="s">
        <v>50</v>
      </c>
      <c r="C17" s="8" t="s">
        <v>50</v>
      </c>
      <c r="D17" s="8" t="s">
        <v>50</v>
      </c>
      <c r="E17" s="8" t="s">
        <v>35</v>
      </c>
      <c r="F17" s="8" t="s">
        <v>35</v>
      </c>
      <c r="G17" s="8" t="s">
        <v>35</v>
      </c>
      <c r="H17" s="8" t="s">
        <v>170</v>
      </c>
      <c r="I17" s="8" t="s">
        <v>170</v>
      </c>
      <c r="J17" s="8" t="s">
        <v>170</v>
      </c>
      <c r="K17" s="8" t="s">
        <v>174</v>
      </c>
      <c r="L17" s="8" t="s">
        <v>174</v>
      </c>
      <c r="M17" s="8" t="s">
        <v>174</v>
      </c>
    </row>
    <row r="18" spans="1:13" x14ac:dyDescent="0.25">
      <c r="A18" s="4" t="s">
        <v>17</v>
      </c>
      <c r="B18" s="8" t="s">
        <v>53</v>
      </c>
      <c r="C18" s="8" t="s">
        <v>53</v>
      </c>
      <c r="D18" s="8" t="s">
        <v>53</v>
      </c>
      <c r="E18" s="8" t="s">
        <v>39</v>
      </c>
      <c r="F18" s="8" t="s">
        <v>39</v>
      </c>
      <c r="G18" s="8" t="s">
        <v>39</v>
      </c>
      <c r="H18" s="8" t="s">
        <v>48</v>
      </c>
      <c r="I18" s="8" t="s">
        <v>48</v>
      </c>
      <c r="J18" s="8" t="s">
        <v>48</v>
      </c>
      <c r="K18" s="8" t="s">
        <v>175</v>
      </c>
      <c r="L18" s="8" t="s">
        <v>175</v>
      </c>
      <c r="M18" s="8" t="s">
        <v>175</v>
      </c>
    </row>
    <row r="19" spans="1:13" x14ac:dyDescent="0.25">
      <c r="A19" s="4" t="s">
        <v>18</v>
      </c>
      <c r="B19" s="8" t="s">
        <v>56</v>
      </c>
      <c r="C19" s="8" t="s">
        <v>56</v>
      </c>
      <c r="D19" s="8" t="s">
        <v>56</v>
      </c>
      <c r="E19" s="8" t="s">
        <v>43</v>
      </c>
      <c r="F19" s="8" t="s">
        <v>43</v>
      </c>
      <c r="G19" s="8" t="s">
        <v>43</v>
      </c>
      <c r="H19" s="8" t="s">
        <v>171</v>
      </c>
      <c r="I19" s="8" t="s">
        <v>171</v>
      </c>
      <c r="J19" s="8" t="s">
        <v>171</v>
      </c>
      <c r="K19" s="8" t="s">
        <v>176</v>
      </c>
      <c r="L19" s="8" t="s">
        <v>176</v>
      </c>
      <c r="M19" s="8" t="s">
        <v>176</v>
      </c>
    </row>
    <row r="21" spans="1:13" ht="30" x14ac:dyDescent="0.25">
      <c r="A21" s="3" t="s">
        <v>58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8FDC-1360-46A4-827E-1F1AB95AD772}">
  <dimension ref="A1:N29"/>
  <sheetViews>
    <sheetView topLeftCell="A6" workbookViewId="0">
      <selection activeCell="L12" sqref="L12:M19"/>
    </sheetView>
  </sheetViews>
  <sheetFormatPr defaultRowHeight="15" x14ac:dyDescent="0.25"/>
  <sheetData>
    <row r="1" spans="1:14" x14ac:dyDescent="0.25">
      <c r="A1" s="3" t="s">
        <v>26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11</v>
      </c>
      <c r="B2" s="2">
        <v>5.0999999999999997E-2</v>
      </c>
      <c r="C2" s="2">
        <v>0.05</v>
      </c>
      <c r="D2" s="2">
        <v>5.0999999999999997E-2</v>
      </c>
      <c r="E2" s="2">
        <v>9.9000000000000005E-2</v>
      </c>
      <c r="F2" s="2">
        <v>9.8000000000000004E-2</v>
      </c>
      <c r="G2" s="2">
        <v>0.10100000000000001</v>
      </c>
      <c r="H2" s="2">
        <v>0.09</v>
      </c>
      <c r="I2" s="2">
        <v>8.5999999999999993E-2</v>
      </c>
      <c r="J2" s="2">
        <v>0.09</v>
      </c>
      <c r="K2" s="2">
        <v>0.09</v>
      </c>
      <c r="L2" s="2">
        <v>0.09</v>
      </c>
      <c r="M2" s="2">
        <v>9.2999999999999999E-2</v>
      </c>
      <c r="N2" s="5">
        <v>670</v>
      </c>
    </row>
    <row r="3" spans="1:14" x14ac:dyDescent="0.25">
      <c r="A3" s="4" t="s">
        <v>12</v>
      </c>
      <c r="B3" s="2">
        <v>0.115</v>
      </c>
      <c r="C3" s="2">
        <v>0.123</v>
      </c>
      <c r="D3" s="2">
        <v>0.13</v>
      </c>
      <c r="E3" s="2">
        <v>6.2E-2</v>
      </c>
      <c r="F3" s="2">
        <v>6.5000000000000002E-2</v>
      </c>
      <c r="G3" s="2">
        <v>6.5000000000000002E-2</v>
      </c>
      <c r="H3" s="2">
        <v>0.10299999999999999</v>
      </c>
      <c r="I3" s="2">
        <v>0.104</v>
      </c>
      <c r="J3" s="2">
        <v>0.10299999999999999</v>
      </c>
      <c r="K3" s="2">
        <v>0.125</v>
      </c>
      <c r="L3" s="2">
        <v>0.11600000000000001</v>
      </c>
      <c r="M3" s="2">
        <v>0.125</v>
      </c>
      <c r="N3" s="5">
        <v>670</v>
      </c>
    </row>
    <row r="4" spans="1:14" x14ac:dyDescent="0.25">
      <c r="A4" s="4" t="s">
        <v>13</v>
      </c>
      <c r="B4" s="2">
        <v>0.23499999999999999</v>
      </c>
      <c r="C4" s="2">
        <v>0.248</v>
      </c>
      <c r="D4" s="2">
        <v>0.28799999999999998</v>
      </c>
      <c r="E4" s="2">
        <v>6.4000000000000001E-2</v>
      </c>
      <c r="F4" s="2">
        <v>6.8000000000000005E-2</v>
      </c>
      <c r="G4" s="2">
        <v>6.6000000000000003E-2</v>
      </c>
      <c r="H4" s="2">
        <v>9.1999999999999998E-2</v>
      </c>
      <c r="I4" s="2">
        <v>8.7999999999999995E-2</v>
      </c>
      <c r="J4" s="2">
        <v>8.5999999999999993E-2</v>
      </c>
      <c r="K4" s="2">
        <v>0.114</v>
      </c>
      <c r="L4" s="2">
        <v>0.111</v>
      </c>
      <c r="M4" s="2">
        <v>0.113</v>
      </c>
      <c r="N4" s="5">
        <v>670</v>
      </c>
    </row>
    <row r="5" spans="1:14" x14ac:dyDescent="0.25">
      <c r="A5" s="4" t="s">
        <v>14</v>
      </c>
      <c r="B5" s="2">
        <v>0.81200000000000006</v>
      </c>
      <c r="C5" s="2">
        <v>0.49099999999999999</v>
      </c>
      <c r="D5" s="2">
        <v>0.438</v>
      </c>
      <c r="E5" s="2">
        <v>5.7000000000000002E-2</v>
      </c>
      <c r="F5" s="2">
        <v>5.6000000000000001E-2</v>
      </c>
      <c r="G5" s="2">
        <v>5.7000000000000002E-2</v>
      </c>
      <c r="H5" s="2">
        <v>0.125</v>
      </c>
      <c r="I5" s="2">
        <v>0.127</v>
      </c>
      <c r="J5" s="2">
        <v>0.129</v>
      </c>
      <c r="K5" s="2">
        <v>0.126</v>
      </c>
      <c r="L5" s="2">
        <v>0.13</v>
      </c>
      <c r="M5" s="2">
        <v>0.151</v>
      </c>
      <c r="N5" s="5">
        <v>670</v>
      </c>
    </row>
    <row r="6" spans="1:14" x14ac:dyDescent="0.25">
      <c r="A6" s="4" t="s">
        <v>15</v>
      </c>
      <c r="B6" s="2">
        <v>0.71499999999999997</v>
      </c>
      <c r="C6" s="2">
        <v>0.86399999999999999</v>
      </c>
      <c r="D6" s="2">
        <v>0.86199999999999999</v>
      </c>
      <c r="E6" s="2">
        <v>6.0999999999999999E-2</v>
      </c>
      <c r="F6" s="2">
        <v>6.3E-2</v>
      </c>
      <c r="G6" s="2">
        <v>6.3E-2</v>
      </c>
      <c r="H6" s="2">
        <v>7.0999999999999994E-2</v>
      </c>
      <c r="I6" s="2">
        <v>7.0000000000000007E-2</v>
      </c>
      <c r="J6" s="2">
        <v>6.8000000000000005E-2</v>
      </c>
      <c r="K6" s="2">
        <v>0.15</v>
      </c>
      <c r="L6" s="2">
        <v>0.14899999999999999</v>
      </c>
      <c r="M6" s="2">
        <v>0.14199999999999999</v>
      </c>
      <c r="N6" s="5">
        <v>670</v>
      </c>
    </row>
    <row r="7" spans="1:14" x14ac:dyDescent="0.25">
      <c r="A7" s="4" t="s">
        <v>16</v>
      </c>
      <c r="B7" s="2">
        <v>1.3460000000000001</v>
      </c>
      <c r="C7" s="2">
        <v>1.3759999999999999</v>
      </c>
      <c r="D7" s="2">
        <v>1.494</v>
      </c>
      <c r="E7" s="2">
        <v>6.2E-2</v>
      </c>
      <c r="F7" s="2">
        <v>6.3E-2</v>
      </c>
      <c r="G7" s="2">
        <v>6.2E-2</v>
      </c>
      <c r="H7" s="2">
        <v>6.7000000000000004E-2</v>
      </c>
      <c r="I7" s="2">
        <v>6.9000000000000006E-2</v>
      </c>
      <c r="J7" s="2">
        <v>6.6000000000000003E-2</v>
      </c>
      <c r="K7" s="2">
        <v>7.0000000000000007E-2</v>
      </c>
      <c r="L7" s="2">
        <v>7.5999999999999998E-2</v>
      </c>
      <c r="M7" s="2">
        <v>7.2999999999999995E-2</v>
      </c>
      <c r="N7" s="5">
        <v>670</v>
      </c>
    </row>
    <row r="8" spans="1:14" x14ac:dyDescent="0.25">
      <c r="A8" s="4" t="s">
        <v>17</v>
      </c>
      <c r="B8" s="2">
        <v>1.012</v>
      </c>
      <c r="C8" s="2">
        <v>1.105</v>
      </c>
      <c r="D8" s="2">
        <v>1.2869999999999999</v>
      </c>
      <c r="E8" s="2">
        <v>6.9000000000000006E-2</v>
      </c>
      <c r="F8" s="2">
        <v>6.8000000000000005E-2</v>
      </c>
      <c r="G8" s="2">
        <v>6.9000000000000006E-2</v>
      </c>
      <c r="H8" s="2">
        <v>0.122</v>
      </c>
      <c r="I8" s="2">
        <v>0.13300000000000001</v>
      </c>
      <c r="J8" s="2">
        <v>0.13700000000000001</v>
      </c>
      <c r="K8" s="2">
        <v>7.3999999999999996E-2</v>
      </c>
      <c r="L8" s="2">
        <v>7.4999999999999997E-2</v>
      </c>
      <c r="M8" s="2">
        <v>7.0999999999999994E-2</v>
      </c>
      <c r="N8" s="5">
        <v>670</v>
      </c>
    </row>
    <row r="9" spans="1:14" x14ac:dyDescent="0.25">
      <c r="A9" s="4" t="s">
        <v>18</v>
      </c>
      <c r="B9" s="2">
        <v>1.4239999999999999</v>
      </c>
      <c r="C9" s="2">
        <v>1.319</v>
      </c>
      <c r="D9" s="2">
        <v>1.3540000000000001</v>
      </c>
      <c r="E9" s="2">
        <v>5.7000000000000002E-2</v>
      </c>
      <c r="F9" s="2">
        <v>5.5E-2</v>
      </c>
      <c r="G9" s="2">
        <v>5.8999999999999997E-2</v>
      </c>
      <c r="H9" s="2">
        <v>0.24</v>
      </c>
      <c r="I9" s="2">
        <v>0.23400000000000001</v>
      </c>
      <c r="J9" s="2">
        <v>0.23899999999999999</v>
      </c>
      <c r="K9" s="2">
        <v>9.5000000000000001E-2</v>
      </c>
      <c r="L9" s="2">
        <v>9.2999999999999999E-2</v>
      </c>
      <c r="M9" s="2">
        <v>9.2999999999999999E-2</v>
      </c>
      <c r="N9" s="5">
        <v>670</v>
      </c>
    </row>
    <row r="11" spans="1:14" x14ac:dyDescent="0.25">
      <c r="A11" s="3" t="s">
        <v>29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11</v>
      </c>
      <c r="B12" s="8" t="s">
        <v>30</v>
      </c>
      <c r="C12" s="8" t="s">
        <v>30</v>
      </c>
      <c r="D12" s="8" t="s">
        <v>30</v>
      </c>
      <c r="E12" s="8" t="s">
        <v>177</v>
      </c>
      <c r="F12" s="8" t="s">
        <v>177</v>
      </c>
      <c r="G12" s="8" t="s">
        <v>177</v>
      </c>
      <c r="H12" s="8" t="s">
        <v>185</v>
      </c>
      <c r="I12" s="8" t="s">
        <v>185</v>
      </c>
      <c r="J12" s="8" t="s">
        <v>185</v>
      </c>
      <c r="K12" s="8" t="s">
        <v>193</v>
      </c>
      <c r="L12" s="8" t="s">
        <v>193</v>
      </c>
      <c r="M12" s="8" t="s">
        <v>193</v>
      </c>
    </row>
    <row r="13" spans="1:14" x14ac:dyDescent="0.25">
      <c r="A13" s="4" t="s">
        <v>12</v>
      </c>
      <c r="B13" s="8" t="s">
        <v>34</v>
      </c>
      <c r="C13" s="8" t="s">
        <v>34</v>
      </c>
      <c r="D13" s="8" t="s">
        <v>34</v>
      </c>
      <c r="E13" s="8" t="s">
        <v>178</v>
      </c>
      <c r="F13" s="8" t="s">
        <v>178</v>
      </c>
      <c r="G13" s="8" t="s">
        <v>178</v>
      </c>
      <c r="H13" s="8" t="s">
        <v>186</v>
      </c>
      <c r="I13" s="8" t="s">
        <v>186</v>
      </c>
      <c r="J13" s="8" t="s">
        <v>186</v>
      </c>
      <c r="K13" s="8" t="s">
        <v>194</v>
      </c>
      <c r="L13" s="8" t="s">
        <v>194</v>
      </c>
      <c r="M13" s="8" t="s">
        <v>194</v>
      </c>
    </row>
    <row r="14" spans="1:14" x14ac:dyDescent="0.25">
      <c r="A14" s="4" t="s">
        <v>13</v>
      </c>
      <c r="B14" s="8" t="s">
        <v>38</v>
      </c>
      <c r="C14" s="8" t="s">
        <v>38</v>
      </c>
      <c r="D14" s="8" t="s">
        <v>38</v>
      </c>
      <c r="E14" s="8" t="s">
        <v>179</v>
      </c>
      <c r="F14" s="8" t="s">
        <v>179</v>
      </c>
      <c r="G14" s="8" t="s">
        <v>179</v>
      </c>
      <c r="H14" s="8" t="s">
        <v>187</v>
      </c>
      <c r="I14" s="8" t="s">
        <v>187</v>
      </c>
      <c r="J14" s="8" t="s">
        <v>187</v>
      </c>
      <c r="K14" s="8" t="s">
        <v>195</v>
      </c>
      <c r="L14" s="8" t="s">
        <v>195</v>
      </c>
      <c r="M14" s="8" t="s">
        <v>195</v>
      </c>
    </row>
    <row r="15" spans="1:14" x14ac:dyDescent="0.25">
      <c r="A15" s="4" t="s">
        <v>14</v>
      </c>
      <c r="B15" s="8" t="s">
        <v>42</v>
      </c>
      <c r="C15" s="8" t="s">
        <v>42</v>
      </c>
      <c r="D15" s="8" t="s">
        <v>42</v>
      </c>
      <c r="E15" s="8" t="s">
        <v>180</v>
      </c>
      <c r="F15" s="8" t="s">
        <v>180</v>
      </c>
      <c r="G15" s="8" t="s">
        <v>180</v>
      </c>
      <c r="H15" s="8" t="s">
        <v>188</v>
      </c>
      <c r="I15" s="8" t="s">
        <v>188</v>
      </c>
      <c r="J15" s="8" t="s">
        <v>188</v>
      </c>
      <c r="K15" s="8" t="s">
        <v>196</v>
      </c>
      <c r="L15" s="8" t="s">
        <v>196</v>
      </c>
      <c r="M15" s="8" t="s">
        <v>196</v>
      </c>
    </row>
    <row r="16" spans="1:14" x14ac:dyDescent="0.25">
      <c r="A16" s="4" t="s">
        <v>15</v>
      </c>
      <c r="B16" s="8" t="s">
        <v>46</v>
      </c>
      <c r="C16" s="8" t="s">
        <v>46</v>
      </c>
      <c r="D16" s="8" t="s">
        <v>46</v>
      </c>
      <c r="E16" s="8" t="s">
        <v>181</v>
      </c>
      <c r="F16" s="8" t="s">
        <v>181</v>
      </c>
      <c r="G16" s="8" t="s">
        <v>181</v>
      </c>
      <c r="H16" s="8" t="s">
        <v>189</v>
      </c>
      <c r="I16" s="8" t="s">
        <v>189</v>
      </c>
      <c r="J16" s="8" t="s">
        <v>189</v>
      </c>
      <c r="K16" s="8" t="s">
        <v>197</v>
      </c>
      <c r="L16" s="8" t="s">
        <v>197</v>
      </c>
      <c r="M16" s="8" t="s">
        <v>197</v>
      </c>
    </row>
    <row r="17" spans="1:13" x14ac:dyDescent="0.25">
      <c r="A17" s="4" t="s">
        <v>16</v>
      </c>
      <c r="B17" s="8" t="s">
        <v>50</v>
      </c>
      <c r="C17" s="8" t="s">
        <v>50</v>
      </c>
      <c r="D17" s="8" t="s">
        <v>50</v>
      </c>
      <c r="E17" s="8" t="s">
        <v>182</v>
      </c>
      <c r="F17" s="8" t="s">
        <v>182</v>
      </c>
      <c r="G17" s="8" t="s">
        <v>182</v>
      </c>
      <c r="H17" s="8" t="s">
        <v>190</v>
      </c>
      <c r="I17" s="8" t="s">
        <v>190</v>
      </c>
      <c r="J17" s="8" t="s">
        <v>190</v>
      </c>
      <c r="K17" s="8" t="s">
        <v>198</v>
      </c>
      <c r="L17" s="8" t="s">
        <v>198</v>
      </c>
      <c r="M17" s="8" t="s">
        <v>198</v>
      </c>
    </row>
    <row r="18" spans="1:13" x14ac:dyDescent="0.25">
      <c r="A18" s="4" t="s">
        <v>17</v>
      </c>
      <c r="B18" s="8" t="s">
        <v>53</v>
      </c>
      <c r="C18" s="8" t="s">
        <v>53</v>
      </c>
      <c r="D18" s="8" t="s">
        <v>53</v>
      </c>
      <c r="E18" s="8" t="s">
        <v>183</v>
      </c>
      <c r="F18" s="8" t="s">
        <v>183</v>
      </c>
      <c r="G18" s="8" t="s">
        <v>183</v>
      </c>
      <c r="H18" s="8" t="s">
        <v>191</v>
      </c>
      <c r="I18" s="8" t="s">
        <v>191</v>
      </c>
      <c r="J18" s="8" t="s">
        <v>191</v>
      </c>
      <c r="K18" s="8" t="s">
        <v>199</v>
      </c>
      <c r="L18" s="8" t="s">
        <v>199</v>
      </c>
      <c r="M18" s="8" t="s">
        <v>199</v>
      </c>
    </row>
    <row r="19" spans="1:13" x14ac:dyDescent="0.25">
      <c r="A19" s="4" t="s">
        <v>18</v>
      </c>
      <c r="B19" s="8" t="s">
        <v>56</v>
      </c>
      <c r="C19" s="8" t="s">
        <v>56</v>
      </c>
      <c r="D19" s="8" t="s">
        <v>56</v>
      </c>
      <c r="E19" s="8" t="s">
        <v>184</v>
      </c>
      <c r="F19" s="8" t="s">
        <v>184</v>
      </c>
      <c r="G19" s="8" t="s">
        <v>184</v>
      </c>
      <c r="H19" s="8" t="s">
        <v>192</v>
      </c>
      <c r="I19" s="8" t="s">
        <v>192</v>
      </c>
      <c r="J19" s="8" t="s">
        <v>192</v>
      </c>
      <c r="K19" s="8" t="s">
        <v>200</v>
      </c>
      <c r="L19" s="8" t="s">
        <v>200</v>
      </c>
      <c r="M19" s="8" t="s">
        <v>200</v>
      </c>
    </row>
    <row r="21" spans="1:13" ht="30" x14ac:dyDescent="0.25">
      <c r="A21" s="3" t="s">
        <v>58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4D32-BFCD-49BC-80AA-F584EF053527}">
  <dimension ref="A1:N29"/>
  <sheetViews>
    <sheetView topLeftCell="A4" workbookViewId="0">
      <selection activeCell="L12" sqref="L12:M19"/>
    </sheetView>
  </sheetViews>
  <sheetFormatPr defaultRowHeight="15" x14ac:dyDescent="0.25"/>
  <sheetData>
    <row r="1" spans="1:14" x14ac:dyDescent="0.25">
      <c r="A1" s="3" t="s">
        <v>27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11</v>
      </c>
      <c r="B2" s="2">
        <v>4.9000000000000002E-2</v>
      </c>
      <c r="C2" s="2">
        <v>5.1999999999999998E-2</v>
      </c>
      <c r="D2" s="2">
        <v>4.9000000000000002E-2</v>
      </c>
      <c r="E2" s="2">
        <v>7.1999999999999995E-2</v>
      </c>
      <c r="F2" s="2">
        <v>7.6999999999999999E-2</v>
      </c>
      <c r="G2" s="2">
        <v>0.08</v>
      </c>
      <c r="H2" s="2">
        <v>7.5999999999999998E-2</v>
      </c>
      <c r="I2" s="2">
        <v>7.1999999999999995E-2</v>
      </c>
      <c r="J2" s="2">
        <v>7.9000000000000001E-2</v>
      </c>
      <c r="K2" s="2">
        <v>1.617</v>
      </c>
      <c r="L2" s="2">
        <v>1.4359999999999999</v>
      </c>
      <c r="M2" s="2">
        <v>1.2809999999999999</v>
      </c>
      <c r="N2" s="5">
        <v>670</v>
      </c>
    </row>
    <row r="3" spans="1:14" x14ac:dyDescent="0.25">
      <c r="A3" s="4" t="s">
        <v>12</v>
      </c>
      <c r="B3" s="2">
        <v>0.129</v>
      </c>
      <c r="C3" s="2">
        <v>0.14199999999999999</v>
      </c>
      <c r="D3" s="2">
        <v>0.114</v>
      </c>
      <c r="E3" s="2">
        <v>0.126</v>
      </c>
      <c r="F3" s="2">
        <v>0.123</v>
      </c>
      <c r="G3" s="2">
        <v>0.14699999999999999</v>
      </c>
      <c r="H3" s="2">
        <v>1.018</v>
      </c>
      <c r="I3" s="2">
        <v>0.90100000000000002</v>
      </c>
      <c r="J3" s="2">
        <v>0.96699999999999997</v>
      </c>
      <c r="K3" s="2">
        <v>0.98299999999999998</v>
      </c>
      <c r="L3" s="2">
        <v>0.98399999999999999</v>
      </c>
      <c r="M3" s="2">
        <v>0.86599999999999999</v>
      </c>
      <c r="N3" s="5">
        <v>670</v>
      </c>
    </row>
    <row r="4" spans="1:14" x14ac:dyDescent="0.25">
      <c r="A4" s="4" t="s">
        <v>13</v>
      </c>
      <c r="B4" s="2">
        <v>0.22800000000000001</v>
      </c>
      <c r="C4" s="2">
        <v>0.20200000000000001</v>
      </c>
      <c r="D4" s="2">
        <v>0.215</v>
      </c>
      <c r="E4" s="2">
        <v>7.8E-2</v>
      </c>
      <c r="F4" s="2">
        <v>0.08</v>
      </c>
      <c r="G4" s="2">
        <v>8.4000000000000005E-2</v>
      </c>
      <c r="H4" s="2">
        <v>1.3240000000000001</v>
      </c>
      <c r="I4" s="2">
        <v>1.03</v>
      </c>
      <c r="J4" s="2">
        <v>1.01</v>
      </c>
      <c r="K4" s="2">
        <v>0.83</v>
      </c>
      <c r="L4" s="2">
        <v>0.82699999999999996</v>
      </c>
      <c r="M4" s="2">
        <v>0.70599999999999996</v>
      </c>
      <c r="N4" s="5">
        <v>670</v>
      </c>
    </row>
    <row r="5" spans="1:14" x14ac:dyDescent="0.25">
      <c r="A5" s="4" t="s">
        <v>14</v>
      </c>
      <c r="B5" s="2">
        <v>0.501</v>
      </c>
      <c r="C5" s="2">
        <v>0.42199999999999999</v>
      </c>
      <c r="D5" s="2">
        <v>0.41099999999999998</v>
      </c>
      <c r="E5" s="2">
        <v>7.3999999999999996E-2</v>
      </c>
      <c r="F5" s="2">
        <v>7.5999999999999998E-2</v>
      </c>
      <c r="G5" s="2">
        <v>7.1999999999999995E-2</v>
      </c>
      <c r="H5" s="2">
        <v>1.853</v>
      </c>
      <c r="I5" s="2">
        <v>1.81</v>
      </c>
      <c r="J5" s="2">
        <v>1.7070000000000001</v>
      </c>
      <c r="K5" s="2">
        <v>0.39400000000000002</v>
      </c>
      <c r="L5" s="2">
        <v>0.30199999999999999</v>
      </c>
      <c r="M5" s="2">
        <v>0.32400000000000001</v>
      </c>
      <c r="N5" s="5">
        <v>670</v>
      </c>
    </row>
    <row r="6" spans="1:14" x14ac:dyDescent="0.25">
      <c r="A6" s="4" t="s">
        <v>15</v>
      </c>
      <c r="B6" s="2">
        <v>0.70599999999999996</v>
      </c>
      <c r="C6" s="2">
        <v>0.74399999999999999</v>
      </c>
      <c r="D6" s="2">
        <v>0.78500000000000003</v>
      </c>
      <c r="E6" s="2">
        <v>7.6999999999999999E-2</v>
      </c>
      <c r="F6" s="2">
        <v>7.8E-2</v>
      </c>
      <c r="G6" s="2">
        <v>7.6999999999999999E-2</v>
      </c>
      <c r="H6" s="2">
        <v>1.1859999999999999</v>
      </c>
      <c r="I6" s="2">
        <v>1.0369999999999999</v>
      </c>
      <c r="J6" s="2">
        <v>1.073</v>
      </c>
      <c r="K6" s="2">
        <v>0.47799999999999998</v>
      </c>
      <c r="L6" s="2">
        <v>0.42599999999999999</v>
      </c>
      <c r="M6" s="2">
        <v>0.48</v>
      </c>
      <c r="N6" s="5">
        <v>670</v>
      </c>
    </row>
    <row r="7" spans="1:14" x14ac:dyDescent="0.25">
      <c r="A7" s="4" t="s">
        <v>16</v>
      </c>
      <c r="B7" s="2">
        <v>1.3049999999999999</v>
      </c>
      <c r="C7" s="2">
        <v>1.1910000000000001</v>
      </c>
      <c r="D7" s="2">
        <v>1.113</v>
      </c>
      <c r="E7" s="2">
        <v>7.8E-2</v>
      </c>
      <c r="F7" s="2">
        <v>8.2000000000000003E-2</v>
      </c>
      <c r="G7" s="2">
        <v>8.3000000000000004E-2</v>
      </c>
      <c r="H7" s="2">
        <v>1.133</v>
      </c>
      <c r="I7" s="2">
        <v>1.1559999999999999</v>
      </c>
      <c r="J7" s="2">
        <v>1.0940000000000001</v>
      </c>
      <c r="K7" s="2">
        <v>0.94</v>
      </c>
      <c r="L7" s="2">
        <v>0.92300000000000004</v>
      </c>
      <c r="M7" s="2">
        <v>0.93300000000000005</v>
      </c>
      <c r="N7" s="5">
        <v>670</v>
      </c>
    </row>
    <row r="8" spans="1:14" x14ac:dyDescent="0.25">
      <c r="A8" s="4" t="s">
        <v>17</v>
      </c>
      <c r="B8" s="2">
        <v>1.5149999999999999</v>
      </c>
      <c r="C8" s="2">
        <v>1.401</v>
      </c>
      <c r="D8" s="2">
        <v>1.25</v>
      </c>
      <c r="E8" s="2">
        <v>7.4999999999999997E-2</v>
      </c>
      <c r="F8" s="2">
        <v>7.3999999999999996E-2</v>
      </c>
      <c r="G8" s="2">
        <v>7.2999999999999995E-2</v>
      </c>
      <c r="H8" s="2">
        <v>1.2470000000000001</v>
      </c>
      <c r="I8" s="2">
        <v>1.01</v>
      </c>
      <c r="J8" s="2">
        <v>1.0640000000000001</v>
      </c>
      <c r="K8" s="2">
        <v>0.68100000000000005</v>
      </c>
      <c r="L8" s="2">
        <v>0.71899999999999997</v>
      </c>
      <c r="M8" s="2">
        <v>0.76300000000000001</v>
      </c>
      <c r="N8" s="5">
        <v>670</v>
      </c>
    </row>
    <row r="9" spans="1:14" x14ac:dyDescent="0.25">
      <c r="A9" s="4" t="s">
        <v>18</v>
      </c>
      <c r="B9" s="2">
        <v>1.2150000000000001</v>
      </c>
      <c r="C9" s="2">
        <v>1.2390000000000001</v>
      </c>
      <c r="D9" s="2">
        <v>1.306</v>
      </c>
      <c r="E9" s="2">
        <v>7.4999999999999997E-2</v>
      </c>
      <c r="F9" s="2">
        <v>7.0999999999999994E-2</v>
      </c>
      <c r="G9" s="2">
        <v>6.9000000000000006E-2</v>
      </c>
      <c r="H9" s="2">
        <v>1.2090000000000001</v>
      </c>
      <c r="I9" s="2">
        <v>0.99399999999999999</v>
      </c>
      <c r="J9" s="2">
        <v>0.97</v>
      </c>
      <c r="K9" s="2">
        <v>0.8</v>
      </c>
      <c r="L9" s="2">
        <v>0.746</v>
      </c>
      <c r="M9" s="2">
        <v>0.69299999999999995</v>
      </c>
      <c r="N9" s="5">
        <v>670</v>
      </c>
    </row>
    <row r="11" spans="1:14" x14ac:dyDescent="0.25">
      <c r="A11" s="3" t="s">
        <v>29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11</v>
      </c>
      <c r="B12" s="8" t="s">
        <v>30</v>
      </c>
      <c r="C12" s="8" t="s">
        <v>30</v>
      </c>
      <c r="D12" s="8" t="s">
        <v>30</v>
      </c>
      <c r="E12" s="8" t="s">
        <v>201</v>
      </c>
      <c r="F12" s="8" t="s">
        <v>201</v>
      </c>
      <c r="G12" s="8" t="s">
        <v>201</v>
      </c>
      <c r="H12" s="8" t="s">
        <v>209</v>
      </c>
      <c r="I12" s="8" t="s">
        <v>209</v>
      </c>
      <c r="J12" s="8" t="s">
        <v>209</v>
      </c>
      <c r="K12" s="8" t="s">
        <v>77</v>
      </c>
      <c r="L12" s="8" t="s">
        <v>77</v>
      </c>
      <c r="M12" s="8" t="s">
        <v>77</v>
      </c>
    </row>
    <row r="13" spans="1:14" x14ac:dyDescent="0.25">
      <c r="A13" s="4" t="s">
        <v>12</v>
      </c>
      <c r="B13" s="8" t="s">
        <v>34</v>
      </c>
      <c r="C13" s="8" t="s">
        <v>34</v>
      </c>
      <c r="D13" s="8" t="s">
        <v>34</v>
      </c>
      <c r="E13" s="8" t="s">
        <v>202</v>
      </c>
      <c r="F13" s="8" t="s">
        <v>202</v>
      </c>
      <c r="G13" s="8" t="s">
        <v>202</v>
      </c>
      <c r="H13" s="8" t="s">
        <v>75</v>
      </c>
      <c r="I13" s="8" t="s">
        <v>75</v>
      </c>
      <c r="J13" s="8" t="s">
        <v>75</v>
      </c>
      <c r="K13" s="8" t="s">
        <v>45</v>
      </c>
      <c r="L13" s="8" t="s">
        <v>45</v>
      </c>
      <c r="M13" s="8" t="s">
        <v>45</v>
      </c>
    </row>
    <row r="14" spans="1:14" x14ac:dyDescent="0.25">
      <c r="A14" s="4" t="s">
        <v>13</v>
      </c>
      <c r="B14" s="8" t="s">
        <v>38</v>
      </c>
      <c r="C14" s="8" t="s">
        <v>38</v>
      </c>
      <c r="D14" s="8" t="s">
        <v>38</v>
      </c>
      <c r="E14" s="8" t="s">
        <v>203</v>
      </c>
      <c r="F14" s="8" t="s">
        <v>203</v>
      </c>
      <c r="G14" s="8" t="s">
        <v>203</v>
      </c>
      <c r="H14" s="8" t="s">
        <v>76</v>
      </c>
      <c r="I14" s="8" t="s">
        <v>76</v>
      </c>
      <c r="J14" s="8" t="s">
        <v>76</v>
      </c>
      <c r="K14" s="8" t="s">
        <v>49</v>
      </c>
      <c r="L14" s="8" t="s">
        <v>49</v>
      </c>
      <c r="M14" s="8" t="s">
        <v>49</v>
      </c>
    </row>
    <row r="15" spans="1:14" x14ac:dyDescent="0.25">
      <c r="A15" s="4" t="s">
        <v>14</v>
      </c>
      <c r="B15" s="8" t="s">
        <v>42</v>
      </c>
      <c r="C15" s="8" t="s">
        <v>42</v>
      </c>
      <c r="D15" s="8" t="s">
        <v>42</v>
      </c>
      <c r="E15" s="8" t="s">
        <v>204</v>
      </c>
      <c r="F15" s="8" t="s">
        <v>204</v>
      </c>
      <c r="G15" s="8" t="s">
        <v>204</v>
      </c>
      <c r="H15" s="8" t="s">
        <v>78</v>
      </c>
      <c r="I15" s="8" t="s">
        <v>78</v>
      </c>
      <c r="J15" s="8" t="s">
        <v>78</v>
      </c>
      <c r="K15" s="8" t="s">
        <v>33</v>
      </c>
      <c r="L15" s="8" t="s">
        <v>33</v>
      </c>
      <c r="M15" s="8" t="s">
        <v>33</v>
      </c>
    </row>
    <row r="16" spans="1:14" x14ac:dyDescent="0.25">
      <c r="A16" s="4" t="s">
        <v>15</v>
      </c>
      <c r="B16" s="8" t="s">
        <v>46</v>
      </c>
      <c r="C16" s="8" t="s">
        <v>46</v>
      </c>
      <c r="D16" s="8" t="s">
        <v>46</v>
      </c>
      <c r="E16" s="8" t="s">
        <v>205</v>
      </c>
      <c r="F16" s="8" t="s">
        <v>205</v>
      </c>
      <c r="G16" s="8" t="s">
        <v>205</v>
      </c>
      <c r="H16" s="8" t="s">
        <v>37</v>
      </c>
      <c r="I16" s="8" t="s">
        <v>37</v>
      </c>
      <c r="J16" s="8" t="s">
        <v>37</v>
      </c>
      <c r="K16" s="8" t="s">
        <v>94</v>
      </c>
      <c r="L16" s="8" t="s">
        <v>94</v>
      </c>
      <c r="M16" s="8" t="s">
        <v>94</v>
      </c>
    </row>
    <row r="17" spans="1:13" x14ac:dyDescent="0.25">
      <c r="A17" s="4" t="s">
        <v>16</v>
      </c>
      <c r="B17" s="8" t="s">
        <v>50</v>
      </c>
      <c r="C17" s="8" t="s">
        <v>50</v>
      </c>
      <c r="D17" s="8" t="s">
        <v>50</v>
      </c>
      <c r="E17" s="8" t="s">
        <v>206</v>
      </c>
      <c r="F17" s="8" t="s">
        <v>206</v>
      </c>
      <c r="G17" s="8" t="s">
        <v>206</v>
      </c>
      <c r="H17" s="8" t="s">
        <v>210</v>
      </c>
      <c r="I17" s="8" t="s">
        <v>210</v>
      </c>
      <c r="J17" s="8" t="s">
        <v>210</v>
      </c>
      <c r="K17" s="8" t="s">
        <v>80</v>
      </c>
      <c r="L17" s="8" t="s">
        <v>80</v>
      </c>
      <c r="M17" s="8" t="s">
        <v>80</v>
      </c>
    </row>
    <row r="18" spans="1:13" x14ac:dyDescent="0.25">
      <c r="A18" s="4" t="s">
        <v>17</v>
      </c>
      <c r="B18" s="8" t="s">
        <v>53</v>
      </c>
      <c r="C18" s="8" t="s">
        <v>53</v>
      </c>
      <c r="D18" s="8" t="s">
        <v>53</v>
      </c>
      <c r="E18" s="8" t="s">
        <v>207</v>
      </c>
      <c r="F18" s="8" t="s">
        <v>207</v>
      </c>
      <c r="G18" s="8" t="s">
        <v>207</v>
      </c>
      <c r="H18" s="8" t="s">
        <v>41</v>
      </c>
      <c r="I18" s="8" t="s">
        <v>41</v>
      </c>
      <c r="J18" s="8" t="s">
        <v>41</v>
      </c>
      <c r="K18" s="8" t="s">
        <v>98</v>
      </c>
      <c r="L18" s="8" t="s">
        <v>98</v>
      </c>
      <c r="M18" s="8" t="s">
        <v>98</v>
      </c>
    </row>
    <row r="19" spans="1:13" x14ac:dyDescent="0.25">
      <c r="A19" s="4" t="s">
        <v>18</v>
      </c>
      <c r="B19" s="8" t="s">
        <v>56</v>
      </c>
      <c r="C19" s="8" t="s">
        <v>56</v>
      </c>
      <c r="D19" s="8" t="s">
        <v>56</v>
      </c>
      <c r="E19" s="8" t="s">
        <v>208</v>
      </c>
      <c r="F19" s="8" t="s">
        <v>208</v>
      </c>
      <c r="G19" s="8" t="s">
        <v>208</v>
      </c>
      <c r="H19" s="8" t="s">
        <v>211</v>
      </c>
      <c r="I19" s="8" t="s">
        <v>211</v>
      </c>
      <c r="J19" s="8" t="s">
        <v>211</v>
      </c>
      <c r="K19" s="8" t="s">
        <v>99</v>
      </c>
      <c r="L19" s="8" t="s">
        <v>99</v>
      </c>
      <c r="M19" s="8" t="s">
        <v>99</v>
      </c>
    </row>
    <row r="21" spans="1:13" ht="30" x14ac:dyDescent="0.25">
      <c r="A21" s="3" t="s">
        <v>58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25</v>
      </c>
      <c r="I22" s="2">
        <v>25</v>
      </c>
      <c r="J22" s="2">
        <v>25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25</v>
      </c>
      <c r="I23" s="2">
        <v>25</v>
      </c>
      <c r="J23" s="2">
        <v>25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25</v>
      </c>
      <c r="I24" s="2">
        <v>25</v>
      </c>
      <c r="J24" s="2">
        <v>25</v>
      </c>
      <c r="K24" s="2">
        <v>25</v>
      </c>
      <c r="L24" s="2">
        <v>25</v>
      </c>
      <c r="M24" s="2">
        <v>25</v>
      </c>
    </row>
    <row r="25" spans="1:13" x14ac:dyDescent="0.25">
      <c r="A25" s="4" t="s">
        <v>14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25</v>
      </c>
      <c r="I25" s="2">
        <v>25</v>
      </c>
      <c r="J25" s="2">
        <v>25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25</v>
      </c>
      <c r="I26" s="2">
        <v>25</v>
      </c>
      <c r="J26" s="2">
        <v>25</v>
      </c>
      <c r="K26" s="2">
        <v>25</v>
      </c>
      <c r="L26" s="2">
        <v>25</v>
      </c>
      <c r="M26" s="2">
        <v>25</v>
      </c>
    </row>
    <row r="27" spans="1:13" x14ac:dyDescent="0.25">
      <c r="A27" s="4" t="s">
        <v>16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25</v>
      </c>
      <c r="I27" s="2">
        <v>25</v>
      </c>
      <c r="J27" s="2">
        <v>25</v>
      </c>
      <c r="K27" s="2">
        <v>25</v>
      </c>
      <c r="L27" s="2">
        <v>25</v>
      </c>
      <c r="M27" s="2">
        <v>25</v>
      </c>
    </row>
    <row r="28" spans="1:13" x14ac:dyDescent="0.25">
      <c r="A28" s="4" t="s">
        <v>17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25</v>
      </c>
      <c r="L28" s="2">
        <v>25</v>
      </c>
      <c r="M28" s="2">
        <v>25</v>
      </c>
    </row>
    <row r="29" spans="1:13" x14ac:dyDescent="0.25">
      <c r="A29" s="4" t="s">
        <v>18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25</v>
      </c>
      <c r="L29" s="2">
        <v>25</v>
      </c>
      <c r="M29" s="2">
        <v>25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5C16-A93E-4F2B-96F1-A23CB34C3FE4}">
  <dimension ref="A1:N29"/>
  <sheetViews>
    <sheetView workbookViewId="0">
      <selection activeCell="L12" sqref="L12:M19"/>
    </sheetView>
  </sheetViews>
  <sheetFormatPr defaultRowHeight="15" x14ac:dyDescent="0.25"/>
  <sheetData>
    <row r="1" spans="1:14" x14ac:dyDescent="0.25">
      <c r="A1" s="3" t="s">
        <v>28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11</v>
      </c>
      <c r="B2" s="2">
        <v>0.05</v>
      </c>
      <c r="C2" s="2">
        <v>0.05</v>
      </c>
      <c r="D2" s="2">
        <v>4.9000000000000002E-2</v>
      </c>
      <c r="E2" s="2">
        <v>5.6000000000000001E-2</v>
      </c>
      <c r="F2" s="2">
        <v>5.5E-2</v>
      </c>
      <c r="G2" s="2">
        <v>5.6000000000000001E-2</v>
      </c>
      <c r="H2" s="2">
        <v>1.1599999999999999</v>
      </c>
      <c r="I2" s="2">
        <v>1.0009999999999999</v>
      </c>
      <c r="J2" s="2">
        <v>0.96699999999999997</v>
      </c>
      <c r="K2" s="2">
        <v>0.61099999999999999</v>
      </c>
      <c r="L2" s="2">
        <v>0.60799999999999998</v>
      </c>
      <c r="M2" s="2">
        <v>0.59499999999999997</v>
      </c>
      <c r="N2" s="5">
        <v>670</v>
      </c>
    </row>
    <row r="3" spans="1:14" x14ac:dyDescent="0.25">
      <c r="A3" s="4" t="s">
        <v>12</v>
      </c>
      <c r="B3" s="2">
        <v>0.13100000000000001</v>
      </c>
      <c r="C3" s="2">
        <v>0.14199999999999999</v>
      </c>
      <c r="D3" s="2">
        <v>0.115</v>
      </c>
      <c r="E3" s="2">
        <v>7.8E-2</v>
      </c>
      <c r="F3" s="2">
        <v>8.1000000000000003E-2</v>
      </c>
      <c r="G3" s="2">
        <v>7.6999999999999999E-2</v>
      </c>
      <c r="H3" s="2">
        <v>0.83199999999999996</v>
      </c>
      <c r="I3" s="2">
        <v>0.84099999999999997</v>
      </c>
      <c r="J3" s="2">
        <v>0.77400000000000002</v>
      </c>
      <c r="K3" s="2">
        <v>0.47699999999999998</v>
      </c>
      <c r="L3" s="2">
        <v>0.42799999999999999</v>
      </c>
      <c r="M3" s="2">
        <v>0.43099999999999999</v>
      </c>
      <c r="N3" s="5">
        <v>670</v>
      </c>
    </row>
    <row r="4" spans="1:14" x14ac:dyDescent="0.25">
      <c r="A4" s="4" t="s">
        <v>13</v>
      </c>
      <c r="B4" s="2">
        <v>0.27800000000000002</v>
      </c>
      <c r="C4" s="2">
        <v>0.22800000000000001</v>
      </c>
      <c r="D4" s="2">
        <v>0.23599999999999999</v>
      </c>
      <c r="E4" s="2">
        <v>5.8999999999999997E-2</v>
      </c>
      <c r="F4" s="2">
        <v>5.8999999999999997E-2</v>
      </c>
      <c r="G4" s="2">
        <v>5.8999999999999997E-2</v>
      </c>
      <c r="H4" s="2">
        <v>0.222</v>
      </c>
      <c r="I4" s="2">
        <v>0.215</v>
      </c>
      <c r="J4" s="2">
        <v>0.19700000000000001</v>
      </c>
      <c r="K4" s="2">
        <v>0.125</v>
      </c>
      <c r="L4" s="2">
        <v>0.20499999999999999</v>
      </c>
      <c r="M4" s="2">
        <v>0.17299999999999999</v>
      </c>
      <c r="N4" s="5">
        <v>670</v>
      </c>
    </row>
    <row r="5" spans="1:14" x14ac:dyDescent="0.25">
      <c r="A5" s="4" t="s">
        <v>14</v>
      </c>
      <c r="B5" s="2">
        <v>0.45500000000000002</v>
      </c>
      <c r="C5" s="2">
        <v>0.44700000000000001</v>
      </c>
      <c r="D5" s="2">
        <v>0.48199999999999998</v>
      </c>
      <c r="E5" s="2">
        <v>6.9000000000000006E-2</v>
      </c>
      <c r="F5" s="2">
        <v>6.8000000000000005E-2</v>
      </c>
      <c r="G5" s="2">
        <v>6.7000000000000004E-2</v>
      </c>
      <c r="H5" s="2">
        <v>0.32800000000000001</v>
      </c>
      <c r="I5" s="2">
        <v>0.29699999999999999</v>
      </c>
      <c r="J5" s="2">
        <v>0.32100000000000001</v>
      </c>
      <c r="K5" s="2">
        <v>4.7E-2</v>
      </c>
      <c r="L5" s="2">
        <v>4.3999999999999997E-2</v>
      </c>
      <c r="M5" s="2">
        <v>4.3999999999999997E-2</v>
      </c>
      <c r="N5" s="5">
        <v>670</v>
      </c>
    </row>
    <row r="6" spans="1:14" x14ac:dyDescent="0.25">
      <c r="A6" s="4" t="s">
        <v>15</v>
      </c>
      <c r="B6" s="2">
        <v>0.82299999999999995</v>
      </c>
      <c r="C6" s="2">
        <v>0.79500000000000004</v>
      </c>
      <c r="D6" s="2">
        <v>0.82599999999999996</v>
      </c>
      <c r="E6" s="2">
        <v>0.16500000000000001</v>
      </c>
      <c r="F6" s="2">
        <v>0.16600000000000001</v>
      </c>
      <c r="G6" s="2">
        <v>0.16900000000000001</v>
      </c>
      <c r="H6" s="2">
        <v>0.22700000000000001</v>
      </c>
      <c r="I6" s="2">
        <v>0.22900000000000001</v>
      </c>
      <c r="J6" s="2">
        <v>0.21299999999999999</v>
      </c>
      <c r="K6" s="2">
        <v>4.4999999999999998E-2</v>
      </c>
      <c r="L6" s="2">
        <v>4.3999999999999997E-2</v>
      </c>
      <c r="M6" s="2">
        <v>4.4999999999999998E-2</v>
      </c>
      <c r="N6" s="5">
        <v>670</v>
      </c>
    </row>
    <row r="7" spans="1:14" x14ac:dyDescent="0.25">
      <c r="A7" s="4" t="s">
        <v>16</v>
      </c>
      <c r="B7" s="2">
        <v>1.389</v>
      </c>
      <c r="C7" s="2">
        <v>1.2789999999999999</v>
      </c>
      <c r="D7" s="2">
        <v>1.325</v>
      </c>
      <c r="E7" s="2">
        <v>5.5E-2</v>
      </c>
      <c r="F7" s="2">
        <v>5.3999999999999999E-2</v>
      </c>
      <c r="G7" s="2">
        <v>5.7000000000000002E-2</v>
      </c>
      <c r="H7" s="2">
        <v>0.23499999999999999</v>
      </c>
      <c r="I7" s="2">
        <v>0.224</v>
      </c>
      <c r="J7" s="2">
        <v>0.22900000000000001</v>
      </c>
      <c r="K7" s="2">
        <v>4.4999999999999998E-2</v>
      </c>
      <c r="L7" s="2">
        <v>4.4999999999999998E-2</v>
      </c>
      <c r="M7" s="2">
        <v>4.4999999999999998E-2</v>
      </c>
      <c r="N7" s="5">
        <v>670</v>
      </c>
    </row>
    <row r="8" spans="1:14" x14ac:dyDescent="0.25">
      <c r="A8" s="4" t="s">
        <v>17</v>
      </c>
      <c r="B8" s="2">
        <v>1.4450000000000001</v>
      </c>
      <c r="C8" s="2">
        <v>1.39</v>
      </c>
      <c r="D8" s="2">
        <v>1.411</v>
      </c>
      <c r="E8" s="2">
        <v>5.7000000000000002E-2</v>
      </c>
      <c r="F8" s="2">
        <v>5.7000000000000002E-2</v>
      </c>
      <c r="G8" s="2">
        <v>5.7000000000000002E-2</v>
      </c>
      <c r="H8" s="2">
        <v>0.59199999999999997</v>
      </c>
      <c r="I8" s="2">
        <v>0.55000000000000004</v>
      </c>
      <c r="J8" s="2">
        <v>0.52700000000000002</v>
      </c>
      <c r="K8" s="2">
        <v>4.3999999999999997E-2</v>
      </c>
      <c r="L8" s="2">
        <v>4.4999999999999998E-2</v>
      </c>
      <c r="M8" s="2">
        <v>4.4999999999999998E-2</v>
      </c>
      <c r="N8" s="5">
        <v>670</v>
      </c>
    </row>
    <row r="9" spans="1:14" x14ac:dyDescent="0.25">
      <c r="A9" s="4" t="s">
        <v>18</v>
      </c>
      <c r="B9" s="2">
        <v>1.413</v>
      </c>
      <c r="C9" s="2">
        <v>1.3540000000000001</v>
      </c>
      <c r="D9" s="2">
        <v>1.3320000000000001</v>
      </c>
      <c r="E9" s="2">
        <v>0.16300000000000001</v>
      </c>
      <c r="F9" s="2">
        <v>0.05</v>
      </c>
      <c r="G9" s="2">
        <v>0.11799999999999999</v>
      </c>
      <c r="H9" s="2">
        <v>0.80300000000000005</v>
      </c>
      <c r="I9" s="2">
        <v>0.70099999999999996</v>
      </c>
      <c r="J9" s="2">
        <v>0.82899999999999996</v>
      </c>
      <c r="K9" s="2">
        <v>4.3999999999999997E-2</v>
      </c>
      <c r="L9" s="2">
        <v>4.4999999999999998E-2</v>
      </c>
      <c r="M9" s="2">
        <v>4.5999999999999999E-2</v>
      </c>
      <c r="N9" s="5">
        <v>670</v>
      </c>
    </row>
    <row r="11" spans="1:14" x14ac:dyDescent="0.25">
      <c r="A11" s="3" t="s">
        <v>29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11</v>
      </c>
      <c r="B12" s="8" t="s">
        <v>30</v>
      </c>
      <c r="C12" s="8" t="s">
        <v>30</v>
      </c>
      <c r="D12" s="8" t="s">
        <v>30</v>
      </c>
      <c r="E12" s="8" t="s">
        <v>212</v>
      </c>
      <c r="F12" s="8" t="s">
        <v>212</v>
      </c>
      <c r="G12" s="8" t="s">
        <v>212</v>
      </c>
      <c r="H12" s="8" t="s">
        <v>100</v>
      </c>
      <c r="I12" s="8" t="s">
        <v>100</v>
      </c>
      <c r="J12" s="8" t="s">
        <v>100</v>
      </c>
      <c r="K12" s="8" t="s">
        <v>54</v>
      </c>
      <c r="L12" s="8" t="s">
        <v>54</v>
      </c>
      <c r="M12" s="8" t="s">
        <v>54</v>
      </c>
    </row>
    <row r="13" spans="1:14" x14ac:dyDescent="0.25">
      <c r="A13" s="4" t="s">
        <v>12</v>
      </c>
      <c r="B13" s="8" t="s">
        <v>34</v>
      </c>
      <c r="C13" s="8" t="s">
        <v>34</v>
      </c>
      <c r="D13" s="8" t="s">
        <v>34</v>
      </c>
      <c r="E13" s="8" t="s">
        <v>213</v>
      </c>
      <c r="F13" s="8" t="s">
        <v>213</v>
      </c>
      <c r="G13" s="8" t="s">
        <v>213</v>
      </c>
      <c r="H13" s="8" t="s">
        <v>101</v>
      </c>
      <c r="I13" s="8" t="s">
        <v>101</v>
      </c>
      <c r="J13" s="8" t="s">
        <v>101</v>
      </c>
      <c r="K13" s="8" t="s">
        <v>57</v>
      </c>
      <c r="L13" s="8" t="s">
        <v>57</v>
      </c>
      <c r="M13" s="8" t="s">
        <v>57</v>
      </c>
    </row>
    <row r="14" spans="1:14" x14ac:dyDescent="0.25">
      <c r="A14" s="4" t="s">
        <v>13</v>
      </c>
      <c r="B14" s="8" t="s">
        <v>38</v>
      </c>
      <c r="C14" s="8" t="s">
        <v>38</v>
      </c>
      <c r="D14" s="8" t="s">
        <v>38</v>
      </c>
      <c r="E14" s="8" t="s">
        <v>214</v>
      </c>
      <c r="F14" s="8" t="s">
        <v>214</v>
      </c>
      <c r="G14" s="8" t="s">
        <v>214</v>
      </c>
      <c r="H14" s="8" t="s">
        <v>32</v>
      </c>
      <c r="I14" s="8" t="s">
        <v>32</v>
      </c>
      <c r="J14" s="8" t="s">
        <v>32</v>
      </c>
      <c r="K14" s="8" t="s">
        <v>52</v>
      </c>
      <c r="L14" s="8" t="s">
        <v>52</v>
      </c>
      <c r="M14" s="8" t="s">
        <v>52</v>
      </c>
    </row>
    <row r="15" spans="1:14" x14ac:dyDescent="0.25">
      <c r="A15" s="4" t="s">
        <v>14</v>
      </c>
      <c r="B15" s="8" t="s">
        <v>42</v>
      </c>
      <c r="C15" s="8" t="s">
        <v>42</v>
      </c>
      <c r="D15" s="8" t="s">
        <v>42</v>
      </c>
      <c r="E15" s="8" t="s">
        <v>215</v>
      </c>
      <c r="F15" s="8" t="s">
        <v>215</v>
      </c>
      <c r="G15" s="8" t="s">
        <v>215</v>
      </c>
      <c r="H15" s="8" t="s">
        <v>36</v>
      </c>
      <c r="I15" s="8" t="s">
        <v>36</v>
      </c>
      <c r="J15" s="8" t="s">
        <v>36</v>
      </c>
      <c r="K15" s="8" t="s">
        <v>52</v>
      </c>
      <c r="L15" s="8" t="s">
        <v>52</v>
      </c>
      <c r="M15" s="8" t="s">
        <v>52</v>
      </c>
    </row>
    <row r="16" spans="1:14" x14ac:dyDescent="0.25">
      <c r="A16" s="4" t="s">
        <v>15</v>
      </c>
      <c r="B16" s="8" t="s">
        <v>46</v>
      </c>
      <c r="C16" s="8" t="s">
        <v>46</v>
      </c>
      <c r="D16" s="8" t="s">
        <v>46</v>
      </c>
      <c r="E16" s="8" t="s">
        <v>216</v>
      </c>
      <c r="F16" s="8" t="s">
        <v>216</v>
      </c>
      <c r="G16" s="8" t="s">
        <v>216</v>
      </c>
      <c r="H16" s="8" t="s">
        <v>40</v>
      </c>
      <c r="I16" s="8" t="s">
        <v>40</v>
      </c>
      <c r="J16" s="8" t="s">
        <v>40</v>
      </c>
      <c r="K16" s="8" t="s">
        <v>52</v>
      </c>
      <c r="L16" s="8" t="s">
        <v>52</v>
      </c>
      <c r="M16" s="8" t="s">
        <v>52</v>
      </c>
    </row>
    <row r="17" spans="1:13" x14ac:dyDescent="0.25">
      <c r="A17" s="4" t="s">
        <v>16</v>
      </c>
      <c r="B17" s="8" t="s">
        <v>50</v>
      </c>
      <c r="C17" s="8" t="s">
        <v>50</v>
      </c>
      <c r="D17" s="8" t="s">
        <v>50</v>
      </c>
      <c r="E17" s="8" t="s">
        <v>217</v>
      </c>
      <c r="F17" s="8" t="s">
        <v>217</v>
      </c>
      <c r="G17" s="8" t="s">
        <v>217</v>
      </c>
      <c r="H17" s="8" t="s">
        <v>219</v>
      </c>
      <c r="I17" s="8" t="s">
        <v>219</v>
      </c>
      <c r="J17" s="8" t="s">
        <v>219</v>
      </c>
      <c r="K17" s="8" t="s">
        <v>52</v>
      </c>
      <c r="L17" s="8" t="s">
        <v>52</v>
      </c>
      <c r="M17" s="8" t="s">
        <v>52</v>
      </c>
    </row>
    <row r="18" spans="1:13" x14ac:dyDescent="0.25">
      <c r="A18" s="4" t="s">
        <v>17</v>
      </c>
      <c r="B18" s="8" t="s">
        <v>53</v>
      </c>
      <c r="C18" s="8" t="s">
        <v>53</v>
      </c>
      <c r="D18" s="8" t="s">
        <v>53</v>
      </c>
      <c r="E18" s="8" t="s">
        <v>218</v>
      </c>
      <c r="F18" s="8" t="s">
        <v>218</v>
      </c>
      <c r="G18" s="8" t="s">
        <v>218</v>
      </c>
      <c r="H18" s="8" t="s">
        <v>44</v>
      </c>
      <c r="I18" s="8" t="s">
        <v>44</v>
      </c>
      <c r="J18" s="8" t="s">
        <v>44</v>
      </c>
      <c r="K18" s="8" t="s">
        <v>52</v>
      </c>
      <c r="L18" s="8" t="s">
        <v>52</v>
      </c>
      <c r="M18" s="8" t="s">
        <v>52</v>
      </c>
    </row>
    <row r="19" spans="1:13" x14ac:dyDescent="0.25">
      <c r="A19" s="4" t="s">
        <v>18</v>
      </c>
      <c r="B19" s="8" t="s">
        <v>56</v>
      </c>
      <c r="C19" s="8" t="s">
        <v>56</v>
      </c>
      <c r="D19" s="8" t="s">
        <v>56</v>
      </c>
      <c r="E19" s="8" t="s">
        <v>52</v>
      </c>
      <c r="F19" s="8" t="s">
        <v>52</v>
      </c>
      <c r="G19" s="8" t="s">
        <v>52</v>
      </c>
      <c r="H19" s="8" t="s">
        <v>220</v>
      </c>
      <c r="I19" s="8" t="s">
        <v>220</v>
      </c>
      <c r="J19" s="8" t="s">
        <v>220</v>
      </c>
      <c r="K19" s="8" t="s">
        <v>52</v>
      </c>
      <c r="L19" s="8" t="s">
        <v>52</v>
      </c>
      <c r="M19" s="8" t="s">
        <v>52</v>
      </c>
    </row>
    <row r="21" spans="1:13" ht="30" x14ac:dyDescent="0.25">
      <c r="A21" s="3" t="s">
        <v>58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25</v>
      </c>
      <c r="I22" s="2">
        <v>25</v>
      </c>
      <c r="J22" s="2">
        <v>25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25</v>
      </c>
      <c r="I23" s="2">
        <v>25</v>
      </c>
      <c r="J23" s="2">
        <v>25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25</v>
      </c>
      <c r="I24" s="2">
        <v>25</v>
      </c>
      <c r="J24" s="2">
        <v>25</v>
      </c>
      <c r="K24" s="2">
        <v>1</v>
      </c>
      <c r="L24" s="2">
        <v>1</v>
      </c>
      <c r="M24" s="2">
        <v>1</v>
      </c>
    </row>
    <row r="25" spans="1:13" x14ac:dyDescent="0.25">
      <c r="A25" s="4" t="s">
        <v>14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25</v>
      </c>
      <c r="I25" s="2">
        <v>25</v>
      </c>
      <c r="J25" s="2">
        <v>25</v>
      </c>
      <c r="K25" s="2">
        <v>1</v>
      </c>
      <c r="L25" s="2">
        <v>1</v>
      </c>
      <c r="M25" s="2">
        <v>1</v>
      </c>
    </row>
    <row r="26" spans="1:13" x14ac:dyDescent="0.25">
      <c r="A26" s="4" t="s">
        <v>15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25</v>
      </c>
      <c r="I26" s="2">
        <v>25</v>
      </c>
      <c r="J26" s="2">
        <v>25</v>
      </c>
      <c r="K26" s="2">
        <v>1</v>
      </c>
      <c r="L26" s="2">
        <v>1</v>
      </c>
      <c r="M26" s="2">
        <v>1</v>
      </c>
    </row>
    <row r="27" spans="1:13" x14ac:dyDescent="0.25">
      <c r="A27" s="4" t="s">
        <v>16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25</v>
      </c>
      <c r="I27" s="2">
        <v>25</v>
      </c>
      <c r="J27" s="2">
        <v>25</v>
      </c>
      <c r="K27" s="2">
        <v>1</v>
      </c>
      <c r="L27" s="2">
        <v>1</v>
      </c>
      <c r="M27" s="2">
        <v>1</v>
      </c>
    </row>
    <row r="28" spans="1:13" x14ac:dyDescent="0.25">
      <c r="A28" s="4" t="s">
        <v>17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1</v>
      </c>
      <c r="L28" s="2">
        <v>1</v>
      </c>
      <c r="M28" s="2">
        <v>1</v>
      </c>
    </row>
    <row r="29" spans="1:13" x14ac:dyDescent="0.25">
      <c r="A29" s="4" t="s">
        <v>18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1</v>
      </c>
      <c r="L29" s="2">
        <v>1</v>
      </c>
      <c r="M29" s="2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STDs Chk</vt:lpstr>
      <vt:lpstr>STDs1</vt:lpstr>
      <vt:lpstr>Plate1</vt:lpstr>
      <vt:lpstr>Plate2</vt:lpstr>
      <vt:lpstr>Plate3</vt:lpstr>
      <vt:lpstr>Plate4</vt:lpstr>
      <vt:lpstr>Plate5</vt:lpstr>
      <vt:lpstr>Plate6</vt:lpstr>
      <vt:lpstr>Plate7</vt:lpstr>
      <vt:lpstr>Plate8</vt:lpstr>
      <vt:lpstr>Plate9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2023-07-25T15:15:58Z</dcterms:created>
  <dcterms:modified xsi:type="dcterms:W3CDTF">2023-09-03T05:13:35Z</dcterms:modified>
</cp:coreProperties>
</file>