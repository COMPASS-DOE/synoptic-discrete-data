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3/Previous Codes/Datasheets/"/>
    </mc:Choice>
  </mc:AlternateContent>
  <xr:revisionPtr revIDLastSave="7" documentId="13_ncr:1_{58735480-8CA6-4016-9CAA-4F2B7C624370}" xr6:coauthVersionLast="47" xr6:coauthVersionMax="47" xr10:uidLastSave="{F67E6BBB-40B9-4E51-8F71-AB1F3BAFEF51}"/>
  <bookViews>
    <workbookView xWindow="-120" yWindow="-120" windowWidth="29040" windowHeight="15720" activeTab="7" xr2:uid="{98C59184-82FD-4ED3-93B6-F57DE327E822}"/>
  </bookViews>
  <sheets>
    <sheet name="Stds" sheetId="1" r:id="rId1"/>
    <sheet name="Plate 1" sheetId="2" r:id="rId2"/>
    <sheet name="Plate2" sheetId="3" r:id="rId3"/>
    <sheet name="Plate3" sheetId="4" r:id="rId4"/>
    <sheet name="Plate4" sheetId="5" r:id="rId5"/>
    <sheet name="Plate5" sheetId="6" r:id="rId6"/>
    <sheet name="Plate6" sheetId="8" r:id="rId7"/>
    <sheet name="Plate7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1" l="1"/>
  <c r="B77" i="1"/>
  <c r="B76" i="1"/>
  <c r="B51" i="1"/>
  <c r="B19" i="1"/>
  <c r="B18" i="1"/>
  <c r="B16" i="1"/>
  <c r="B3" i="1"/>
  <c r="B27" i="1"/>
  <c r="B29" i="1"/>
  <c r="B75" i="1"/>
  <c r="B73" i="1"/>
  <c r="B72" i="1"/>
  <c r="B71" i="1"/>
  <c r="B70" i="1"/>
  <c r="B65" i="1"/>
  <c r="B64" i="1"/>
  <c r="B63" i="1"/>
  <c r="B62" i="1"/>
  <c r="B61" i="1"/>
  <c r="B60" i="1"/>
  <c r="B59" i="1"/>
  <c r="B58" i="1"/>
  <c r="B54" i="1"/>
  <c r="B53" i="1"/>
  <c r="B52" i="1"/>
  <c r="B50" i="1"/>
  <c r="B49" i="1"/>
  <c r="B48" i="1"/>
  <c r="B47" i="1"/>
  <c r="B43" i="1"/>
  <c r="B42" i="1"/>
  <c r="B41" i="1"/>
  <c r="B40" i="1"/>
  <c r="B39" i="1"/>
  <c r="B38" i="1"/>
  <c r="B37" i="1"/>
  <c r="B36" i="1"/>
  <c r="B32" i="1"/>
  <c r="B31" i="1"/>
  <c r="B30" i="1"/>
  <c r="B28" i="1"/>
  <c r="B26" i="1"/>
  <c r="B25" i="1"/>
  <c r="B21" i="1"/>
  <c r="B20" i="1"/>
  <c r="B17" i="1"/>
  <c r="B15" i="1"/>
  <c r="B14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<sst xmlns="http://schemas.openxmlformats.org/spreadsheetml/2006/main" count="866" uniqueCount="184">
  <si>
    <t>Plate 1</t>
  </si>
  <si>
    <t>Conc</t>
  </si>
  <si>
    <t>Avg Abs</t>
  </si>
  <si>
    <t>Abs1</t>
  </si>
  <si>
    <t>Abs 2</t>
  </si>
  <si>
    <t>Abs3</t>
  </si>
  <si>
    <t>Plate 2</t>
  </si>
  <si>
    <t>Plate 3</t>
  </si>
  <si>
    <t>Plate 4</t>
  </si>
  <si>
    <t>Plate 5</t>
  </si>
  <si>
    <t>Plate 6</t>
  </si>
  <si>
    <t>Plate 7</t>
  </si>
  <si>
    <t>A</t>
  </si>
  <si>
    <t>B</t>
  </si>
  <si>
    <t>C</t>
  </si>
  <si>
    <t>D</t>
  </si>
  <si>
    <t>E</t>
  </si>
  <si>
    <t>F</t>
  </si>
  <si>
    <t>G</t>
  </si>
  <si>
    <t>H</t>
  </si>
  <si>
    <t>IDs</t>
  </si>
  <si>
    <t>Std 0</t>
  </si>
  <si>
    <t>Std 1</t>
  </si>
  <si>
    <t>Std 2</t>
  </si>
  <si>
    <t>Std 3</t>
  </si>
  <si>
    <t>Std 4</t>
  </si>
  <si>
    <t>Std 5</t>
  </si>
  <si>
    <t>MC: 10ppt</t>
  </si>
  <si>
    <t>MC: 20ppt</t>
  </si>
  <si>
    <t>Dilutions</t>
  </si>
  <si>
    <t>Plate3</t>
  </si>
  <si>
    <t>Plate2</t>
  </si>
  <si>
    <t>Plate5</t>
  </si>
  <si>
    <t>MSM_UP_LysA_20cm</t>
  </si>
  <si>
    <t>MSM_UP_LysA_45cm</t>
  </si>
  <si>
    <t>MSM_UP_LysB_10cm</t>
  </si>
  <si>
    <t>MSM_UP_LysB_45cm</t>
  </si>
  <si>
    <t>MSM_UP_LysC_10cm</t>
  </si>
  <si>
    <t>MSM_UP_LysC_20cm</t>
  </si>
  <si>
    <t>MSM_UP_LysC_45cm</t>
  </si>
  <si>
    <t>MSM_TR_LysA_10cm</t>
  </si>
  <si>
    <t>MSM_TR_LysA_20cm</t>
  </si>
  <si>
    <t>MSM_TR_LysA_45cm</t>
  </si>
  <si>
    <t>MSM_TR_LysB_10cm</t>
  </si>
  <si>
    <t>MSM_TR_LysB_20cm</t>
  </si>
  <si>
    <t>MSM_TR_LysB_45cm</t>
  </si>
  <si>
    <t>MSM_TR_LysB_45cm_dup</t>
  </si>
  <si>
    <t>MSM_TR_LysC_10cm</t>
  </si>
  <si>
    <t>MSM_TR_LysC_10cm_spk</t>
  </si>
  <si>
    <t>MSM_TR_LysC_20cm</t>
  </si>
  <si>
    <t>MSM_TR_LysC_45cm</t>
  </si>
  <si>
    <t>MSM_WC_LysA_10cm</t>
  </si>
  <si>
    <t>MSM_WC_LysA_20cm</t>
  </si>
  <si>
    <t>MSM_WC_LysA_45cm</t>
  </si>
  <si>
    <t>MSM_WC_LysB_10cm</t>
  </si>
  <si>
    <t>MSM_WC_LysB_20cm</t>
  </si>
  <si>
    <t>MSM_WC_LysC_10cm</t>
  </si>
  <si>
    <t>MSM_UP_WC_LysC_20cm</t>
  </si>
  <si>
    <t>MSM_UP_WC_LysC_45cm</t>
  </si>
  <si>
    <t>MSM_SW_A</t>
  </si>
  <si>
    <t>MSM_SW_B</t>
  </si>
  <si>
    <t>MSM_SW_C</t>
  </si>
  <si>
    <t>GCW_TR_LysA_20cm</t>
  </si>
  <si>
    <t>GCW_TR_LysA_45cm</t>
  </si>
  <si>
    <t>GCW_TR_LysB_10cm</t>
  </si>
  <si>
    <t>GCW_TR_LysB_20cm</t>
  </si>
  <si>
    <t>GCW_TR_LysB_45cm</t>
  </si>
  <si>
    <t>GCW_TR_LysC_20cm</t>
  </si>
  <si>
    <t>GCW_TR_LysC_45cm</t>
  </si>
  <si>
    <t>GCW_WC_LysA_10cm</t>
  </si>
  <si>
    <t>GCW_WC_LysA_10cm_dup</t>
  </si>
  <si>
    <t>GCW_WC_LysA_20cm_spk</t>
  </si>
  <si>
    <t>GCW_WC_LysA_20cm</t>
  </si>
  <si>
    <t>GCW_WC_LysA_45cm</t>
  </si>
  <si>
    <t>GCW_WC_LysB_45cm</t>
  </si>
  <si>
    <t>GCW_WC_LysB_10cm</t>
  </si>
  <si>
    <t>GCW_WC_LysB_20cm</t>
  </si>
  <si>
    <t>GCW_WC_LysC_10cm</t>
  </si>
  <si>
    <t>GCW_WC_LysC_20cm</t>
  </si>
  <si>
    <t>GCW_WC_LysC_45cm</t>
  </si>
  <si>
    <t>GCW_SW_A</t>
  </si>
  <si>
    <t>GCW_SW_B</t>
  </si>
  <si>
    <t>GCW_SW_C</t>
  </si>
  <si>
    <t>SWH_UPCON_LysA_10cm</t>
  </si>
  <si>
    <t>SWH_UPCON_LysA_20cm</t>
  </si>
  <si>
    <t>SWH_UPCON_LysA_45cm</t>
  </si>
  <si>
    <t>SWH_UPCON_LysB_10cm</t>
  </si>
  <si>
    <t>SWH_UPCON_LysB_20cm</t>
  </si>
  <si>
    <t>SWH_UPCON_LysB_45cm</t>
  </si>
  <si>
    <t>SWH_UPCON_LysC_10cm</t>
  </si>
  <si>
    <t>SWH_UPCON_LysC_20cm</t>
  </si>
  <si>
    <t>SWH_UPCON_LysC_45cm</t>
  </si>
  <si>
    <t>SWH_UP_LysA_10cm</t>
  </si>
  <si>
    <t>SWH_UP_LysA_20cm</t>
  </si>
  <si>
    <t>SWH_UP_LysA_20cm_dup</t>
  </si>
  <si>
    <t>SWH_UP_LysA_45cm</t>
  </si>
  <si>
    <t>SWH_UP_LysA_45cm_spk</t>
  </si>
  <si>
    <t>SWH_UP_LysB_10cm</t>
  </si>
  <si>
    <t>SWH_UP_LysC_20cm</t>
  </si>
  <si>
    <t>SWH_UP_LysB_20cm</t>
  </si>
  <si>
    <t>SWH_UP_LysB_45cm</t>
  </si>
  <si>
    <t>SWH_UP_LysC_10cm</t>
  </si>
  <si>
    <t>SWH_UP_LysC_45cm</t>
  </si>
  <si>
    <t>SWH_TR_LysA_10cm</t>
  </si>
  <si>
    <t>SWH_TR_LysA_20cm</t>
  </si>
  <si>
    <t>NA</t>
  </si>
  <si>
    <t>SWH_TR_LysB_10cm</t>
  </si>
  <si>
    <t>SWH_TR_LysA_45cm</t>
  </si>
  <si>
    <t>SWH_TR_LysC_45cm</t>
  </si>
  <si>
    <t>SWH_TR_LysB_20cm</t>
  </si>
  <si>
    <t>SWH_TR_LysB_45cm</t>
  </si>
  <si>
    <t>SWH_TR_LysC_10cm</t>
  </si>
  <si>
    <t>SWH_TR_LysC_20cm</t>
  </si>
  <si>
    <t>SWH_WC_LysA_10cm</t>
  </si>
  <si>
    <t>SWH_WC_LysA_20cm</t>
  </si>
  <si>
    <t>SWH_WC_LysB_20cm</t>
  </si>
  <si>
    <t>SWH_WC_LysC_20cm</t>
  </si>
  <si>
    <t>SWH_WC_LysA_45cm</t>
  </si>
  <si>
    <t>SWH_WC_LysB_10cm</t>
  </si>
  <si>
    <t>SWH_WC_LysB_45cm</t>
  </si>
  <si>
    <t>SWH_WC_LysB_45cm_dup</t>
  </si>
  <si>
    <t>SWH_WC_LysC_10cm</t>
  </si>
  <si>
    <t>SWH_WC_LysC_10cm_spk</t>
  </si>
  <si>
    <t>SWH_WC_LysC_45cm</t>
  </si>
  <si>
    <t>SWH_SW_A</t>
  </si>
  <si>
    <t>SWH_SW_B</t>
  </si>
  <si>
    <t>SWH_SW_C</t>
  </si>
  <si>
    <t>GWI_UP_LysA_45cm</t>
  </si>
  <si>
    <t>GWI_UP_LysB_10cm</t>
  </si>
  <si>
    <t>GWI_UP_LysB_20cm</t>
  </si>
  <si>
    <t>GWI_UP_LysC_10cm</t>
  </si>
  <si>
    <t>GWI_UP_LysC_20cm</t>
  </si>
  <si>
    <t>GWI_TR_LysA_10cm</t>
  </si>
  <si>
    <t>GWI_TR_LysA_20cm</t>
  </si>
  <si>
    <t>GWI_TR_LysA_45cm</t>
  </si>
  <si>
    <t>GWI_TR_LysB_10cm</t>
  </si>
  <si>
    <t>GWI_TR_LysB_20cm</t>
  </si>
  <si>
    <t>GWI_TR_LysB_45cm</t>
  </si>
  <si>
    <t>GWI_TR_LysC_10cm</t>
  </si>
  <si>
    <t>GWI_TR_LysC_20cm</t>
  </si>
  <si>
    <t>GWI_TR_LysC_45cm</t>
  </si>
  <si>
    <t>GWI_WC_LysA_10cm</t>
  </si>
  <si>
    <t>GWI_WC_LysA_10cm_dup</t>
  </si>
  <si>
    <t>GWI_WC_LysA_20cm</t>
  </si>
  <si>
    <t>GWI_WC_LysA_20cm_spk</t>
  </si>
  <si>
    <t>GWI_WC_LysA_45cm</t>
  </si>
  <si>
    <t>GWI_WC_LysB_10cm</t>
  </si>
  <si>
    <t>GWI_WC_LysB_20cm</t>
  </si>
  <si>
    <t>GWI_WC_LysB_45cm</t>
  </si>
  <si>
    <t>GWI_WC_LysC_10cm</t>
  </si>
  <si>
    <t>GWI_WC_LysC_20cm</t>
  </si>
  <si>
    <t>GWI_SW_A</t>
  </si>
  <si>
    <t>GWI_SW_B</t>
  </si>
  <si>
    <t>Plate6</t>
  </si>
  <si>
    <t>GWI_SW_C</t>
  </si>
  <si>
    <t>MSM_RHZ_UP_SF1</t>
  </si>
  <si>
    <t>MSM_RHZ_UP_SF2</t>
  </si>
  <si>
    <t>MSM_RHZ_UP_SF3</t>
  </si>
  <si>
    <t>MSM_RHZ_UP_SF4</t>
  </si>
  <si>
    <t>MSM_RHZ_UP_SF6</t>
  </si>
  <si>
    <t>MSM_RHZ_UP_SF7</t>
  </si>
  <si>
    <t>MSM_RHZ_TR_SF1</t>
  </si>
  <si>
    <t>MSM_RHZ_TR_SF2</t>
  </si>
  <si>
    <t>MSM_RHZ_TR_SF3</t>
  </si>
  <si>
    <t>MSM_RHZ_TR_SF4</t>
  </si>
  <si>
    <t>MSM_RHZ_TR_SF5</t>
  </si>
  <si>
    <t>MSM_RHZ_TR_SF6</t>
  </si>
  <si>
    <t>MSM_RHZ_TR_SF6_dup</t>
  </si>
  <si>
    <t>MSM_RHZ_TR_SF7</t>
  </si>
  <si>
    <t>MSM_RHZ_TR_SF7_spk</t>
  </si>
  <si>
    <t>MSM_RHZ_TR_SF8</t>
  </si>
  <si>
    <t>MSM_RHZ_WC_Col1</t>
  </si>
  <si>
    <t>MSM_RHZ_WC_Col2</t>
  </si>
  <si>
    <t>MSM_RHZ_WC_Col3</t>
  </si>
  <si>
    <t>MSM_RHZ_WC_Col4</t>
  </si>
  <si>
    <t>MSM_RHZ_WC_Col5</t>
  </si>
  <si>
    <t>MSM_RHZ_WC_SipA</t>
  </si>
  <si>
    <t>MSM_RHZ_WC_SipB</t>
  </si>
  <si>
    <t>Plate7</t>
  </si>
  <si>
    <t>TEMPEST_Aquifer_A</t>
  </si>
  <si>
    <t>TEMPEST_Aquifer_B</t>
  </si>
  <si>
    <t>TEMPEST_Aquifer_C</t>
  </si>
  <si>
    <t>TEMPEST_Aquifer_A_dup</t>
  </si>
  <si>
    <t>TEMPEST_Aquifer_B_spk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</si>
</sst>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Stds!$B$46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441448243627087"/>
                  <c:y val="0.335138475411381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Stds!$A$47:$A$54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Stds!$B$47:$B$54</c:f>
              <c:numCache>
                <c:formatCode>General</c:formatCode>
                <c:ptCount val="8"/>
                <c:pt idx="0">
                  <c:v>5.2333333333333336E-2</c:v>
                </c:pt>
                <c:pt idx="1">
                  <c:v>0.16400000000000001</c:v>
                </c:pt>
                <c:pt idx="2">
                  <c:v>0.39700000000000002</c:v>
                </c:pt>
                <c:pt idx="3">
                  <c:v>0.64033333333333331</c:v>
                </c:pt>
                <c:pt idx="4">
                  <c:v>1.0986666666666667</c:v>
                </c:pt>
                <c:pt idx="5">
                  <c:v>1.6686666666666667</c:v>
                </c:pt>
                <c:pt idx="6">
                  <c:v>1.5506666666666664</c:v>
                </c:pt>
                <c:pt idx="7">
                  <c:v>1.5596666666666668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7E-4597-8818-8A42C922B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022240"/>
        <c:axId val="524025480"/>
      </c:scatterChart>
      <c:valAx>
        <c:axId val="52402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025480"/>
        <c:crosses val="autoZero"/>
        <c:crossBetween val="midCat"/>
      </c:valAx>
      <c:valAx>
        <c:axId val="52402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02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205589185744853"/>
                  <c:y val="0.254267459246822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Stds!$A$3:$A$10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Stds!$B$3:$B$10</c:f>
              <c:numCache>
                <c:formatCode>General</c:formatCode>
                <c:ptCount val="8"/>
                <c:pt idx="0">
                  <c:v>5.7000000000000002E-2</c:v>
                </c:pt>
                <c:pt idx="1">
                  <c:v>0.14500000000000002</c:v>
                </c:pt>
                <c:pt idx="2">
                  <c:v>0.35099999999999998</c:v>
                </c:pt>
                <c:pt idx="3">
                  <c:v>0.64033333333333331</c:v>
                </c:pt>
                <c:pt idx="4">
                  <c:v>0.97250000000000003</c:v>
                </c:pt>
                <c:pt idx="5">
                  <c:v>1.746</c:v>
                </c:pt>
                <c:pt idx="6">
                  <c:v>1.6120000000000001</c:v>
                </c:pt>
                <c:pt idx="7">
                  <c:v>1.7953333333333334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42-4821-82FA-E91C65B4B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019360"/>
        <c:axId val="524019720"/>
      </c:scatterChart>
      <c:valAx>
        <c:axId val="52401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019720"/>
        <c:crosses val="autoZero"/>
        <c:crossBetween val="midCat"/>
      </c:valAx>
      <c:valAx>
        <c:axId val="52401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01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Stds!$B$13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079177602799644E-2"/>
                  <c:y val="0.235694444444444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Stds!$A$14:$A$21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Stds!$B$14:$B$21</c:f>
              <c:numCache>
                <c:formatCode>General</c:formatCode>
                <c:ptCount val="8"/>
                <c:pt idx="0">
                  <c:v>5.0999999999999997E-2</c:v>
                </c:pt>
                <c:pt idx="1">
                  <c:v>0.157</c:v>
                </c:pt>
                <c:pt idx="2">
                  <c:v>0.33133333333333331</c:v>
                </c:pt>
                <c:pt idx="3">
                  <c:v>0.72000000000000008</c:v>
                </c:pt>
                <c:pt idx="4">
                  <c:v>1.0920000000000001</c:v>
                </c:pt>
                <c:pt idx="5">
                  <c:v>1.83</c:v>
                </c:pt>
                <c:pt idx="6">
                  <c:v>1.6526666666666667</c:v>
                </c:pt>
                <c:pt idx="7">
                  <c:v>1.75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2E-44A2-BAF4-5405A1C68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12360"/>
        <c:axId val="180005880"/>
      </c:scatterChart>
      <c:valAx>
        <c:axId val="180012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05880"/>
        <c:crosses val="autoZero"/>
        <c:crossBetween val="midCat"/>
      </c:valAx>
      <c:valAx>
        <c:axId val="18000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12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Stds!$B$24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419028871391076"/>
                  <c:y val="0.248502114319043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Stds!$A$25:$A$32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Stds!$B$25:$B$32</c:f>
              <c:numCache>
                <c:formatCode>General</c:formatCode>
                <c:ptCount val="8"/>
                <c:pt idx="0">
                  <c:v>5.0333333333333334E-2</c:v>
                </c:pt>
                <c:pt idx="1">
                  <c:v>0.15333333333333332</c:v>
                </c:pt>
                <c:pt idx="2">
                  <c:v>0.37599999999999995</c:v>
                </c:pt>
                <c:pt idx="3">
                  <c:v>0.59149999999999991</c:v>
                </c:pt>
                <c:pt idx="4">
                  <c:v>1.0696666666666668</c:v>
                </c:pt>
                <c:pt idx="5">
                  <c:v>1.7669999999999999</c:v>
                </c:pt>
                <c:pt idx="6">
                  <c:v>1.5573333333333335</c:v>
                </c:pt>
                <c:pt idx="7">
                  <c:v>1.615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6-41B6-B753-C3871CFC3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311952"/>
        <c:axId val="432791728"/>
      </c:scatterChart>
      <c:valAx>
        <c:axId val="43731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91728"/>
        <c:crosses val="autoZero"/>
        <c:crossBetween val="midCat"/>
      </c:valAx>
      <c:valAx>
        <c:axId val="43279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1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Stds!$B$35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968624970735509"/>
                  <c:y val="0.207168774675317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Stds!$A$36:$A$43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Stds!$B$36:$B$43</c:f>
              <c:numCache>
                <c:formatCode>General</c:formatCode>
                <c:ptCount val="8"/>
                <c:pt idx="0">
                  <c:v>5.6333333333333326E-2</c:v>
                </c:pt>
                <c:pt idx="1">
                  <c:v>0.15833333333333333</c:v>
                </c:pt>
                <c:pt idx="2">
                  <c:v>0.33599999999999997</c:v>
                </c:pt>
                <c:pt idx="3">
                  <c:v>0.66</c:v>
                </c:pt>
                <c:pt idx="4">
                  <c:v>1.0950000000000002</c:v>
                </c:pt>
                <c:pt idx="5">
                  <c:v>1.7333333333333334</c:v>
                </c:pt>
                <c:pt idx="6">
                  <c:v>1.6273333333333333</c:v>
                </c:pt>
                <c:pt idx="7">
                  <c:v>1.7150000000000001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D-4664-A525-D4F1FAFA3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052776"/>
        <c:axId val="525053136"/>
      </c:scatterChart>
      <c:valAx>
        <c:axId val="52505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53136"/>
        <c:crosses val="autoZero"/>
        <c:crossBetween val="midCat"/>
      </c:valAx>
      <c:valAx>
        <c:axId val="52505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52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Stds!$B$57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9190288713910765E-2"/>
                  <c:y val="0.217175925925925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Stds!$A$58:$A$65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Stds!$B$58:$B$65</c:f>
              <c:numCache>
                <c:formatCode>General</c:formatCode>
                <c:ptCount val="8"/>
                <c:pt idx="0">
                  <c:v>5.9333333333333328E-2</c:v>
                </c:pt>
                <c:pt idx="1">
                  <c:v>0.15066666666666664</c:v>
                </c:pt>
                <c:pt idx="2">
                  <c:v>0.311</c:v>
                </c:pt>
                <c:pt idx="3">
                  <c:v>0.66900000000000004</c:v>
                </c:pt>
                <c:pt idx="4">
                  <c:v>1.0645</c:v>
                </c:pt>
                <c:pt idx="5">
                  <c:v>1.6519999999999999</c:v>
                </c:pt>
                <c:pt idx="6">
                  <c:v>1.6156666666666668</c:v>
                </c:pt>
                <c:pt idx="7">
                  <c:v>1.6513333333333333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2-40A8-B5ED-E0B57D4FA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043776"/>
        <c:axId val="525045216"/>
      </c:scatterChart>
      <c:valAx>
        <c:axId val="52504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45216"/>
        <c:crosses val="autoZero"/>
        <c:crossBetween val="midCat"/>
      </c:valAx>
      <c:valAx>
        <c:axId val="5250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4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Stds!$B$69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Stds!$A$70:$A$77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xVal>
          <c:yVal>
            <c:numRef>
              <c:f>Stds!$B$70:$B$77</c:f>
              <c:numCache>
                <c:formatCode>General</c:formatCode>
                <c:ptCount val="8"/>
                <c:pt idx="0">
                  <c:v>5.7333333333333326E-2</c:v>
                </c:pt>
                <c:pt idx="1">
                  <c:v>0.14433333333333334</c:v>
                </c:pt>
                <c:pt idx="2">
                  <c:v>0.35933333333333334</c:v>
                </c:pt>
                <c:pt idx="3">
                  <c:v>0.64799999999999991</c:v>
                </c:pt>
                <c:pt idx="4">
                  <c:v>0.97599999999999998</c:v>
                </c:pt>
                <c:pt idx="5">
                  <c:v>1.45</c:v>
                </c:pt>
                <c:pt idx="6">
                  <c:v>1.4994999999999998</c:v>
                </c:pt>
                <c:pt idx="7">
                  <c:v>1.5430000000000001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4-48D1-B8F9-ECC759A74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050616"/>
        <c:axId val="525050976"/>
      </c:scatterChart>
      <c:valAx>
        <c:axId val="525050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50976"/>
        <c:crosses val="autoZero"/>
        <c:crossBetween val="midCat"/>
      </c:valAx>
      <c:valAx>
        <c:axId val="5250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50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45</xdr:row>
      <xdr:rowOff>109536</xdr:rowOff>
    </xdr:from>
    <xdr:to>
      <xdr:col>11</xdr:col>
      <xdr:colOff>9525</xdr:colOff>
      <xdr:row>56</xdr:row>
      <xdr:rowOff>19049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4AD6929-6B3B-5F33-882D-DE105676F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228600</xdr:colOff>
      <xdr:row>0</xdr:row>
      <xdr:rowOff>128587</xdr:rowOff>
    </xdr:from>
    <xdr:to>
      <xdr:col>10</xdr:col>
      <xdr:colOff>476250</xdr:colOff>
      <xdr:row>12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856FE4-43E9-21CC-0A01-E48E32A37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190501</xdr:colOff>
      <xdr:row>13</xdr:row>
      <xdr:rowOff>4762</xdr:rowOff>
    </xdr:from>
    <xdr:to>
      <xdr:col>10</xdr:col>
      <xdr:colOff>438151</xdr:colOff>
      <xdr:row>22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C142959-0D14-936F-BA80-0BA26A039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176212</xdr:colOff>
      <xdr:row>23</xdr:row>
      <xdr:rowOff>147637</xdr:rowOff>
    </xdr:from>
    <xdr:to>
      <xdr:col>10</xdr:col>
      <xdr:colOff>400050</xdr:colOff>
      <xdr:row>34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B9C0F74-34B0-24DB-BCBB-816A342DC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176212</xdr:colOff>
      <xdr:row>35</xdr:row>
      <xdr:rowOff>23812</xdr:rowOff>
    </xdr:from>
    <xdr:to>
      <xdr:col>10</xdr:col>
      <xdr:colOff>276225</xdr:colOff>
      <xdr:row>44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BD06EF9-370E-C14A-D97D-A62595C56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214312</xdr:colOff>
      <xdr:row>56</xdr:row>
      <xdr:rowOff>157162</xdr:rowOff>
    </xdr:from>
    <xdr:to>
      <xdr:col>11</xdr:col>
      <xdr:colOff>114300</xdr:colOff>
      <xdr:row>67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99E5EA8-A4FF-0842-E2B8-A49BD0564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271462</xdr:colOff>
      <xdr:row>68</xdr:row>
      <xdr:rowOff>90487</xdr:rowOff>
    </xdr:from>
    <xdr:to>
      <xdr:col>11</xdr:col>
      <xdr:colOff>171450</xdr:colOff>
      <xdr:row>79</xdr:row>
      <xdr:rowOff>38100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43C6ED-F0CB-FBB6-B11D-BEE577383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EA1A-02C7-4BAD-9363-81E5C54E9875}">
  <dimension ref="A1:E88"/>
  <sheetViews>
    <sheetView topLeftCell="A52" workbookViewId="0">
      <selection activeCell="C82" sqref="C82"/>
    </sheetView>
  </sheetViews>
  <sheetFormatPr defaultRowHeight="15" x14ac:dyDescent="0.25"/>
  <sheetData>
    <row r="1" spans="1:5" x14ac:dyDescent="0.25">
      <c r="A1" s="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0</v>
      </c>
      <c r="B3">
        <f>AVERAGE(C3:E3)</f>
        <v>5.7000000000000002E-2</v>
      </c>
      <c r="C3" s="2">
        <v>5.8000000000000003E-2</v>
      </c>
      <c r="D3" s="2">
        <v>5.5E-2</v>
      </c>
      <c r="E3" s="2">
        <v>5.8000000000000003E-2</v>
      </c>
    </row>
    <row r="4" spans="1:5" x14ac:dyDescent="0.25">
      <c r="A4">
        <v>5</v>
      </c>
      <c r="B4">
        <f>AVERAGE(C4:E4)</f>
        <v>0.14500000000000002</v>
      </c>
      <c r="C4" s="2">
        <v>0.126</v>
      </c>
      <c r="D4" s="2">
        <v>0.13800000000000001</v>
      </c>
      <c r="E4" s="2">
        <v>0.17100000000000001</v>
      </c>
    </row>
    <row r="5" spans="1:5" x14ac:dyDescent="0.25">
      <c r="A5">
        <v>12.5</v>
      </c>
      <c r="B5">
        <f>AVERAGE(C5:D5)</f>
        <v>0.35099999999999998</v>
      </c>
      <c r="C5" s="2">
        <v>0.34599999999999997</v>
      </c>
      <c r="D5" s="2">
        <v>0.35599999999999998</v>
      </c>
      <c r="E5" s="2">
        <v>0.34599999999999997</v>
      </c>
    </row>
    <row r="6" spans="1:5" x14ac:dyDescent="0.25">
      <c r="A6">
        <v>25</v>
      </c>
      <c r="B6">
        <f>AVERAGE(C6:E6)</f>
        <v>0.64033333333333331</v>
      </c>
      <c r="C6" s="2">
        <v>0.50900000000000001</v>
      </c>
      <c r="D6" s="2">
        <v>0.65</v>
      </c>
      <c r="E6" s="2">
        <v>0.76200000000000001</v>
      </c>
    </row>
    <row r="7" spans="1:5" x14ac:dyDescent="0.25">
      <c r="A7">
        <v>50</v>
      </c>
      <c r="B7">
        <f>AVERAGE(C7,E7)</f>
        <v>0.97250000000000003</v>
      </c>
      <c r="C7" s="2">
        <v>0.88100000000000001</v>
      </c>
      <c r="D7" s="2">
        <v>1.02</v>
      </c>
      <c r="E7" s="2">
        <v>1.0640000000000001</v>
      </c>
    </row>
    <row r="8" spans="1:5" x14ac:dyDescent="0.25">
      <c r="A8">
        <v>100</v>
      </c>
      <c r="B8">
        <f>AVERAGE(C8:D8)</f>
        <v>1.746</v>
      </c>
      <c r="C8" s="2">
        <v>1.837</v>
      </c>
      <c r="D8" s="2">
        <v>1.655</v>
      </c>
      <c r="E8" s="2">
        <v>1.528</v>
      </c>
    </row>
    <row r="9" spans="1:5" x14ac:dyDescent="0.25">
      <c r="A9">
        <v>100</v>
      </c>
      <c r="B9">
        <f>AVERAGE(C9:E9)</f>
        <v>1.6120000000000001</v>
      </c>
      <c r="C9" s="2">
        <v>1.601</v>
      </c>
      <c r="D9" s="2">
        <v>1.56</v>
      </c>
      <c r="E9" s="2">
        <v>1.675</v>
      </c>
    </row>
    <row r="10" spans="1:5" x14ac:dyDescent="0.25">
      <c r="A10">
        <v>100</v>
      </c>
      <c r="B10">
        <f>AVERAGE(C10:E10)</f>
        <v>1.7953333333333334</v>
      </c>
      <c r="C10" s="2">
        <v>1.889</v>
      </c>
      <c r="D10" s="2">
        <v>1.5429999999999999</v>
      </c>
      <c r="E10" s="2">
        <v>1.954</v>
      </c>
    </row>
    <row r="12" spans="1:5" x14ac:dyDescent="0.25">
      <c r="A12" s="1" t="s">
        <v>6</v>
      </c>
    </row>
    <row r="13" spans="1:5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5" x14ac:dyDescent="0.25">
      <c r="A14">
        <v>0</v>
      </c>
      <c r="B14">
        <f>AVERAGE(C14:E14)</f>
        <v>5.0999999999999997E-2</v>
      </c>
      <c r="C14" s="2">
        <v>5.3999999999999999E-2</v>
      </c>
      <c r="D14" s="2">
        <v>5.0999999999999997E-2</v>
      </c>
      <c r="E14" s="2">
        <v>4.8000000000000001E-2</v>
      </c>
    </row>
    <row r="15" spans="1:5" x14ac:dyDescent="0.25">
      <c r="A15">
        <v>5</v>
      </c>
      <c r="B15">
        <f>AVERAGE(C15:E15)</f>
        <v>0.157</v>
      </c>
      <c r="C15" s="2">
        <v>0.14799999999999999</v>
      </c>
      <c r="D15" s="2">
        <v>0.17100000000000001</v>
      </c>
      <c r="E15" s="2">
        <v>0.152</v>
      </c>
    </row>
    <row r="16" spans="1:5" x14ac:dyDescent="0.25">
      <c r="A16">
        <v>12.5</v>
      </c>
      <c r="B16">
        <f>AVERAGE(C16:E16)</f>
        <v>0.33133333333333331</v>
      </c>
      <c r="C16" s="2">
        <v>0.32100000000000001</v>
      </c>
      <c r="D16" s="2">
        <v>0.32700000000000001</v>
      </c>
      <c r="E16" s="2">
        <v>0.34599999999999997</v>
      </c>
    </row>
    <row r="17" spans="1:5" x14ac:dyDescent="0.25">
      <c r="A17">
        <v>25</v>
      </c>
      <c r="B17">
        <f>AVERAGE(C17:E17)</f>
        <v>0.72000000000000008</v>
      </c>
      <c r="C17" s="2">
        <v>0.59299999999999997</v>
      </c>
      <c r="D17" s="2">
        <v>0.72</v>
      </c>
      <c r="E17" s="2">
        <v>0.84699999999999998</v>
      </c>
    </row>
    <row r="18" spans="1:5" x14ac:dyDescent="0.25">
      <c r="A18">
        <v>50</v>
      </c>
      <c r="B18">
        <f>AVERAGE(D18:E18)</f>
        <v>1.0920000000000001</v>
      </c>
      <c r="C18" s="2">
        <v>1.2030000000000001</v>
      </c>
      <c r="D18" s="2">
        <v>1.0629999999999999</v>
      </c>
      <c r="E18" s="2">
        <v>1.121</v>
      </c>
    </row>
    <row r="19" spans="1:5" x14ac:dyDescent="0.25">
      <c r="A19">
        <v>100</v>
      </c>
      <c r="B19">
        <f>AVERAGE(C19:E19)</f>
        <v>1.83</v>
      </c>
      <c r="C19" s="2">
        <v>1.8680000000000001</v>
      </c>
      <c r="D19" s="2">
        <v>1.6719999999999999</v>
      </c>
      <c r="E19" s="2">
        <v>1.95</v>
      </c>
    </row>
    <row r="20" spans="1:5" x14ac:dyDescent="0.25">
      <c r="A20">
        <v>100</v>
      </c>
      <c r="B20">
        <f>AVERAGE(C20:E20)</f>
        <v>1.6526666666666667</v>
      </c>
      <c r="C20" s="2">
        <v>1.6739999999999999</v>
      </c>
      <c r="D20" s="2">
        <v>1.57</v>
      </c>
      <c r="E20" s="2">
        <v>1.714</v>
      </c>
    </row>
    <row r="21" spans="1:5" x14ac:dyDescent="0.25">
      <c r="A21">
        <v>100</v>
      </c>
      <c r="B21">
        <f>AVERAGE(C21:E21)</f>
        <v>1.75</v>
      </c>
      <c r="C21" s="2">
        <v>1.891</v>
      </c>
      <c r="D21" s="2">
        <v>1.645</v>
      </c>
      <c r="E21" s="2">
        <v>1.714</v>
      </c>
    </row>
    <row r="23" spans="1:5" x14ac:dyDescent="0.25">
      <c r="A23" s="1" t="s">
        <v>7</v>
      </c>
    </row>
    <row r="24" spans="1:5" x14ac:dyDescent="0.25">
      <c r="A24" t="s">
        <v>1</v>
      </c>
      <c r="B24" t="s">
        <v>2</v>
      </c>
      <c r="C24" t="s">
        <v>3</v>
      </c>
      <c r="D24" t="s">
        <v>4</v>
      </c>
      <c r="E24" t="s">
        <v>5</v>
      </c>
    </row>
    <row r="25" spans="1:5" x14ac:dyDescent="0.25">
      <c r="A25">
        <v>0</v>
      </c>
      <c r="B25">
        <f>AVERAGE(C25:E25)</f>
        <v>5.0333333333333334E-2</v>
      </c>
      <c r="C25" s="2">
        <v>4.9000000000000002E-2</v>
      </c>
      <c r="D25" s="2">
        <v>4.9000000000000002E-2</v>
      </c>
      <c r="E25" s="2">
        <v>5.2999999999999999E-2</v>
      </c>
    </row>
    <row r="26" spans="1:5" x14ac:dyDescent="0.25">
      <c r="A26">
        <v>5</v>
      </c>
      <c r="B26">
        <f>AVERAGE(C26:E26)</f>
        <v>0.15333333333333332</v>
      </c>
      <c r="C26" s="2">
        <v>0.14699999999999999</v>
      </c>
      <c r="D26" s="2">
        <v>0.153</v>
      </c>
      <c r="E26" s="2">
        <v>0.16</v>
      </c>
    </row>
    <row r="27" spans="1:5" x14ac:dyDescent="0.25">
      <c r="A27">
        <v>12.5</v>
      </c>
      <c r="B27">
        <f>AVERAGE(C27:E27)</f>
        <v>0.37599999999999995</v>
      </c>
      <c r="C27" s="2">
        <v>0.36799999999999999</v>
      </c>
      <c r="D27" s="2">
        <v>0.439</v>
      </c>
      <c r="E27" s="2">
        <v>0.32100000000000001</v>
      </c>
    </row>
    <row r="28" spans="1:5" x14ac:dyDescent="0.25">
      <c r="A28">
        <v>25</v>
      </c>
      <c r="B28">
        <f>AVERAGE(D28,E28)</f>
        <v>0.59149999999999991</v>
      </c>
      <c r="C28" s="2">
        <v>0.80300000000000005</v>
      </c>
      <c r="D28" s="2">
        <v>0.59699999999999998</v>
      </c>
      <c r="E28" s="2">
        <v>0.58599999999999997</v>
      </c>
    </row>
    <row r="29" spans="1:5" x14ac:dyDescent="0.25">
      <c r="A29">
        <v>50</v>
      </c>
      <c r="B29">
        <f>AVERAGE(C29:E29)</f>
        <v>1.0696666666666668</v>
      </c>
      <c r="C29" s="2">
        <v>1.103</v>
      </c>
      <c r="D29" s="2">
        <v>1.0940000000000001</v>
      </c>
      <c r="E29" s="2">
        <v>1.012</v>
      </c>
    </row>
    <row r="30" spans="1:5" x14ac:dyDescent="0.25">
      <c r="A30">
        <v>100</v>
      </c>
      <c r="B30">
        <f>AVERAGE(C30:D30)</f>
        <v>1.7669999999999999</v>
      </c>
      <c r="C30" s="2">
        <v>1.863</v>
      </c>
      <c r="D30" s="2">
        <v>1.671</v>
      </c>
      <c r="E30" s="2">
        <v>1.72</v>
      </c>
    </row>
    <row r="31" spans="1:5" x14ac:dyDescent="0.25">
      <c r="A31">
        <v>100</v>
      </c>
      <c r="B31">
        <f>AVERAGE(C31:E31)</f>
        <v>1.5573333333333335</v>
      </c>
      <c r="C31" s="2">
        <v>1.573</v>
      </c>
      <c r="D31" s="2">
        <v>1.5629999999999999</v>
      </c>
      <c r="E31" s="2">
        <v>1.536</v>
      </c>
    </row>
    <row r="32" spans="1:5" x14ac:dyDescent="0.25">
      <c r="A32">
        <v>100</v>
      </c>
      <c r="B32">
        <f>AVERAGE(C32:E32)</f>
        <v>1.615</v>
      </c>
      <c r="C32" s="2">
        <v>1.617</v>
      </c>
      <c r="D32" s="2">
        <v>1.569</v>
      </c>
      <c r="E32" s="2">
        <v>1.659</v>
      </c>
    </row>
    <row r="34" spans="1:5" x14ac:dyDescent="0.25">
      <c r="A34" s="1" t="s">
        <v>8</v>
      </c>
    </row>
    <row r="35" spans="1:5" x14ac:dyDescent="0.25">
      <c r="A35" t="s">
        <v>1</v>
      </c>
      <c r="B35" t="s">
        <v>2</v>
      </c>
      <c r="C35" t="s">
        <v>3</v>
      </c>
      <c r="D35" t="s">
        <v>4</v>
      </c>
      <c r="E35" t="s">
        <v>5</v>
      </c>
    </row>
    <row r="36" spans="1:5" x14ac:dyDescent="0.25">
      <c r="A36">
        <v>0</v>
      </c>
      <c r="B36">
        <f>AVERAGE(C36:E36)</f>
        <v>5.6333333333333326E-2</v>
      </c>
      <c r="C36" s="2">
        <v>6.0999999999999999E-2</v>
      </c>
      <c r="D36" s="2">
        <v>5.2999999999999999E-2</v>
      </c>
      <c r="E36" s="2">
        <v>5.5E-2</v>
      </c>
    </row>
    <row r="37" spans="1:5" x14ac:dyDescent="0.25">
      <c r="A37">
        <v>5</v>
      </c>
      <c r="B37">
        <f>AVERAGE(C37:E37)</f>
        <v>0.15833333333333333</v>
      </c>
      <c r="C37" s="2">
        <v>0.14299999999999999</v>
      </c>
      <c r="D37" s="2">
        <v>0.17699999999999999</v>
      </c>
      <c r="E37" s="2">
        <v>0.155</v>
      </c>
    </row>
    <row r="38" spans="1:5" x14ac:dyDescent="0.25">
      <c r="A38">
        <v>12.5</v>
      </c>
      <c r="B38">
        <f>AVERAGE(C38,E38)</f>
        <v>0.33599999999999997</v>
      </c>
      <c r="C38" s="2">
        <v>0.35299999999999998</v>
      </c>
      <c r="D38" s="2">
        <v>0.29199999999999998</v>
      </c>
      <c r="E38" s="2">
        <v>0.31900000000000001</v>
      </c>
    </row>
    <row r="39" spans="1:5" x14ac:dyDescent="0.25">
      <c r="A39">
        <v>25</v>
      </c>
      <c r="B39">
        <f>AVERAGE(C39,D39)</f>
        <v>0.66</v>
      </c>
      <c r="C39" s="2">
        <v>0.76800000000000002</v>
      </c>
      <c r="D39" s="2">
        <v>0.55200000000000005</v>
      </c>
      <c r="E39" s="2">
        <v>0.69099999999999995</v>
      </c>
    </row>
    <row r="40" spans="1:5" x14ac:dyDescent="0.25">
      <c r="A40">
        <v>50</v>
      </c>
      <c r="B40">
        <f>AVERAGE(D40:E40)</f>
        <v>1.0950000000000002</v>
      </c>
      <c r="C40" s="2">
        <v>1.1519999999999999</v>
      </c>
      <c r="D40" s="2">
        <v>1.1120000000000001</v>
      </c>
      <c r="E40" s="2">
        <v>1.0780000000000001</v>
      </c>
    </row>
    <row r="41" spans="1:5" x14ac:dyDescent="0.25">
      <c r="A41">
        <v>100</v>
      </c>
      <c r="B41">
        <f>AVERAGE(C41:E41)</f>
        <v>1.7333333333333334</v>
      </c>
      <c r="C41" s="2">
        <v>1.8660000000000001</v>
      </c>
      <c r="D41" s="2">
        <v>1.774</v>
      </c>
      <c r="E41" s="2">
        <v>1.56</v>
      </c>
    </row>
    <row r="42" spans="1:5" x14ac:dyDescent="0.25">
      <c r="A42">
        <v>100</v>
      </c>
      <c r="B42">
        <f>AVERAGE(C42:E42)</f>
        <v>1.6273333333333333</v>
      </c>
      <c r="C42" s="2">
        <v>1.6160000000000001</v>
      </c>
      <c r="D42" s="2">
        <v>1.613</v>
      </c>
      <c r="E42" s="2">
        <v>1.653</v>
      </c>
    </row>
    <row r="43" spans="1:5" x14ac:dyDescent="0.25">
      <c r="A43">
        <v>100</v>
      </c>
      <c r="B43">
        <f>AVERAGE(D43:E43)</f>
        <v>1.7150000000000001</v>
      </c>
      <c r="C43" s="2">
        <v>1.758</v>
      </c>
      <c r="D43" s="2">
        <v>1.7250000000000001</v>
      </c>
      <c r="E43" s="2">
        <v>1.7050000000000001</v>
      </c>
    </row>
    <row r="45" spans="1:5" x14ac:dyDescent="0.25">
      <c r="A45" s="1" t="s">
        <v>9</v>
      </c>
    </row>
    <row r="46" spans="1:5" x14ac:dyDescent="0.25">
      <c r="A46" t="s">
        <v>1</v>
      </c>
      <c r="B46" t="s">
        <v>2</v>
      </c>
      <c r="C46" t="s">
        <v>3</v>
      </c>
      <c r="D46" t="s">
        <v>4</v>
      </c>
      <c r="E46" t="s">
        <v>5</v>
      </c>
    </row>
    <row r="47" spans="1:5" x14ac:dyDescent="0.25">
      <c r="A47">
        <v>0</v>
      </c>
      <c r="B47">
        <f>AVERAGE(C47:E47)</f>
        <v>5.2333333333333336E-2</v>
      </c>
      <c r="C47" s="2">
        <v>5.2999999999999999E-2</v>
      </c>
      <c r="D47" s="2">
        <v>5.1999999999999998E-2</v>
      </c>
      <c r="E47" s="2">
        <v>5.1999999999999998E-2</v>
      </c>
    </row>
    <row r="48" spans="1:5" x14ac:dyDescent="0.25">
      <c r="A48">
        <v>5</v>
      </c>
      <c r="B48">
        <f>AVERAGE(C48:E48)</f>
        <v>0.16400000000000001</v>
      </c>
      <c r="C48" s="2">
        <v>0.19800000000000001</v>
      </c>
      <c r="D48" s="2">
        <v>0.157</v>
      </c>
      <c r="E48" s="2">
        <v>0.13700000000000001</v>
      </c>
    </row>
    <row r="49" spans="1:5" x14ac:dyDescent="0.25">
      <c r="A49">
        <v>12.5</v>
      </c>
      <c r="B49">
        <f>AVERAGE(C49:E49)</f>
        <v>0.39700000000000002</v>
      </c>
      <c r="C49" s="2">
        <v>0.45500000000000002</v>
      </c>
      <c r="D49" s="2">
        <v>0.34</v>
      </c>
      <c r="E49" s="2">
        <v>0.39600000000000002</v>
      </c>
    </row>
    <row r="50" spans="1:5" x14ac:dyDescent="0.25">
      <c r="A50">
        <v>25</v>
      </c>
      <c r="B50">
        <f>AVERAGE(C50:E50)</f>
        <v>0.64033333333333331</v>
      </c>
      <c r="C50" s="2">
        <v>0.60099999999999998</v>
      </c>
      <c r="D50" s="2">
        <v>0.626</v>
      </c>
      <c r="E50" s="2">
        <v>0.69399999999999995</v>
      </c>
    </row>
    <row r="51" spans="1:5" x14ac:dyDescent="0.25">
      <c r="A51">
        <v>50</v>
      </c>
      <c r="B51">
        <f>AVERAGE(C51:D51,E51)</f>
        <v>1.0986666666666667</v>
      </c>
      <c r="C51" s="2">
        <v>1.2729999999999999</v>
      </c>
      <c r="D51" s="2">
        <v>0.81699999999999995</v>
      </c>
      <c r="E51" s="2">
        <v>1.206</v>
      </c>
    </row>
    <row r="52" spans="1:5" x14ac:dyDescent="0.25">
      <c r="A52">
        <v>100</v>
      </c>
      <c r="B52">
        <f>AVERAGE(C52:E52)</f>
        <v>1.6686666666666667</v>
      </c>
      <c r="C52" s="2">
        <v>1.8080000000000001</v>
      </c>
      <c r="D52" s="2">
        <v>1.4970000000000001</v>
      </c>
      <c r="E52" s="2">
        <v>1.7010000000000001</v>
      </c>
    </row>
    <row r="53" spans="1:5" x14ac:dyDescent="0.25">
      <c r="A53">
        <v>100</v>
      </c>
      <c r="B53">
        <f>AVERAGE(C53:E53)</f>
        <v>1.5506666666666664</v>
      </c>
      <c r="C53" s="2">
        <v>1.5249999999999999</v>
      </c>
      <c r="D53" s="2">
        <v>1.57</v>
      </c>
      <c r="E53" s="2">
        <v>1.5569999999999999</v>
      </c>
    </row>
    <row r="54" spans="1:5" x14ac:dyDescent="0.25">
      <c r="A54">
        <v>100</v>
      </c>
      <c r="B54">
        <f>AVERAGE(C54:E54)</f>
        <v>1.5596666666666668</v>
      </c>
      <c r="C54" s="2">
        <v>1.575</v>
      </c>
      <c r="D54" s="2">
        <v>1.4770000000000001</v>
      </c>
      <c r="E54" s="2">
        <v>1.627</v>
      </c>
    </row>
    <row r="56" spans="1:5" x14ac:dyDescent="0.25">
      <c r="A56" s="1" t="s">
        <v>10</v>
      </c>
    </row>
    <row r="57" spans="1:5" x14ac:dyDescent="0.25">
      <c r="A57" t="s">
        <v>1</v>
      </c>
      <c r="B57" t="s">
        <v>2</v>
      </c>
      <c r="C57" t="s">
        <v>3</v>
      </c>
      <c r="D57" t="s">
        <v>4</v>
      </c>
      <c r="E57" t="s">
        <v>5</v>
      </c>
    </row>
    <row r="58" spans="1:5" x14ac:dyDescent="0.25">
      <c r="A58">
        <v>0</v>
      </c>
      <c r="B58">
        <f>AVERAGE(C58:E58)</f>
        <v>5.9333333333333328E-2</v>
      </c>
      <c r="C58" s="2">
        <v>6.2E-2</v>
      </c>
      <c r="D58" s="2">
        <v>5.7000000000000002E-2</v>
      </c>
      <c r="E58" s="2">
        <v>5.8999999999999997E-2</v>
      </c>
    </row>
    <row r="59" spans="1:5" x14ac:dyDescent="0.25">
      <c r="A59">
        <v>5</v>
      </c>
      <c r="B59">
        <f>AVERAGE(C59:E59)</f>
        <v>0.15066666666666664</v>
      </c>
      <c r="C59" s="2">
        <v>0.14899999999999999</v>
      </c>
      <c r="D59" s="2">
        <v>0.153</v>
      </c>
      <c r="E59" s="2">
        <v>0.15</v>
      </c>
    </row>
    <row r="60" spans="1:5" x14ac:dyDescent="0.25">
      <c r="A60">
        <v>12.5</v>
      </c>
      <c r="B60">
        <f>AVERAGE(C60:E60)</f>
        <v>0.311</v>
      </c>
      <c r="C60" s="2">
        <v>0.30399999999999999</v>
      </c>
      <c r="D60" s="2">
        <v>0.29399999999999998</v>
      </c>
      <c r="E60" s="2">
        <v>0.33500000000000002</v>
      </c>
    </row>
    <row r="61" spans="1:5" x14ac:dyDescent="0.25">
      <c r="A61">
        <v>25</v>
      </c>
      <c r="B61">
        <f>AVERAGE(C61:D61)</f>
        <v>0.66900000000000004</v>
      </c>
      <c r="C61" s="2">
        <v>0.60099999999999998</v>
      </c>
      <c r="D61" s="2">
        <v>0.73699999999999999</v>
      </c>
      <c r="E61" s="2">
        <v>0.66700000000000004</v>
      </c>
    </row>
    <row r="62" spans="1:5" x14ac:dyDescent="0.25">
      <c r="A62">
        <v>50</v>
      </c>
      <c r="B62">
        <f>AVERAGE(D62,E62)</f>
        <v>1.0645</v>
      </c>
      <c r="C62" s="2">
        <v>1.079</v>
      </c>
      <c r="D62" s="2">
        <v>1.0980000000000001</v>
      </c>
      <c r="E62" s="2">
        <v>1.0309999999999999</v>
      </c>
    </row>
    <row r="63" spans="1:5" x14ac:dyDescent="0.25">
      <c r="A63">
        <v>100</v>
      </c>
      <c r="B63">
        <f>AVERAGE(C63,E63)</f>
        <v>1.6519999999999999</v>
      </c>
      <c r="C63" s="2">
        <v>1.6579999999999999</v>
      </c>
      <c r="D63" s="2">
        <v>1.5860000000000001</v>
      </c>
      <c r="E63" s="2">
        <v>1.6459999999999999</v>
      </c>
    </row>
    <row r="64" spans="1:5" x14ac:dyDescent="0.25">
      <c r="A64">
        <v>100</v>
      </c>
      <c r="B64">
        <f>AVERAGE(C64:E64)</f>
        <v>1.6156666666666668</v>
      </c>
      <c r="C64" s="2">
        <v>1.7050000000000001</v>
      </c>
      <c r="D64" s="2">
        <v>1.482</v>
      </c>
      <c r="E64" s="2">
        <v>1.66</v>
      </c>
    </row>
    <row r="65" spans="1:5" x14ac:dyDescent="0.25">
      <c r="A65">
        <v>100</v>
      </c>
      <c r="B65">
        <f>AVERAGE(C65:E65)</f>
        <v>1.6513333333333333</v>
      </c>
      <c r="C65" s="2">
        <v>1.7609999999999999</v>
      </c>
      <c r="D65" s="2">
        <v>1.5389999999999999</v>
      </c>
      <c r="E65" s="2">
        <v>1.6539999999999999</v>
      </c>
    </row>
    <row r="68" spans="1:5" x14ac:dyDescent="0.25">
      <c r="A68" s="1" t="s">
        <v>11</v>
      </c>
    </row>
    <row r="69" spans="1:5" x14ac:dyDescent="0.25">
      <c r="A69" t="s">
        <v>1</v>
      </c>
      <c r="B69" t="s">
        <v>2</v>
      </c>
      <c r="C69" t="s">
        <v>3</v>
      </c>
      <c r="D69" t="s">
        <v>4</v>
      </c>
      <c r="E69" t="s">
        <v>5</v>
      </c>
    </row>
    <row r="70" spans="1:5" x14ac:dyDescent="0.25">
      <c r="A70">
        <v>0</v>
      </c>
      <c r="B70">
        <f>AVERAGE(C70:E70)</f>
        <v>5.7333333333333326E-2</v>
      </c>
      <c r="C70" s="2">
        <v>5.5E-2</v>
      </c>
      <c r="D70" s="2">
        <v>0.06</v>
      </c>
      <c r="E70" s="2">
        <v>5.7000000000000002E-2</v>
      </c>
    </row>
    <row r="71" spans="1:5" x14ac:dyDescent="0.25">
      <c r="A71">
        <v>5</v>
      </c>
      <c r="B71">
        <f>AVERAGE(C71:E71)</f>
        <v>0.14433333333333334</v>
      </c>
      <c r="C71" s="2">
        <v>0.14099999999999999</v>
      </c>
      <c r="D71" s="2">
        <v>0.126</v>
      </c>
      <c r="E71" s="2">
        <v>0.16600000000000001</v>
      </c>
    </row>
    <row r="72" spans="1:5" x14ac:dyDescent="0.25">
      <c r="A72">
        <v>12.5</v>
      </c>
      <c r="B72">
        <f>AVERAGE(C72:E72)</f>
        <v>0.35933333333333334</v>
      </c>
      <c r="C72" s="2">
        <v>0.32700000000000001</v>
      </c>
      <c r="D72" s="2">
        <v>0.38400000000000001</v>
      </c>
      <c r="E72" s="2">
        <v>0.36699999999999999</v>
      </c>
    </row>
    <row r="73" spans="1:5" x14ac:dyDescent="0.25">
      <c r="A73">
        <v>25</v>
      </c>
      <c r="B73">
        <f>AVERAGE(D73:E73)</f>
        <v>0.64799999999999991</v>
      </c>
      <c r="C73" s="2">
        <v>0.54300000000000004</v>
      </c>
      <c r="D73" s="2">
        <v>0.68799999999999994</v>
      </c>
      <c r="E73" s="2">
        <v>0.60799999999999998</v>
      </c>
    </row>
    <row r="74" spans="1:5" x14ac:dyDescent="0.25">
      <c r="A74">
        <v>50</v>
      </c>
      <c r="B74">
        <f>AVERAGE(D74:E74)</f>
        <v>0.97599999999999998</v>
      </c>
      <c r="C74" s="2">
        <v>1.21</v>
      </c>
      <c r="D74" s="2">
        <v>0.98</v>
      </c>
      <c r="E74" s="2">
        <v>0.97199999999999998</v>
      </c>
    </row>
    <row r="75" spans="1:5" x14ac:dyDescent="0.25">
      <c r="A75">
        <v>100</v>
      </c>
      <c r="B75">
        <f>AVERAGE(C75:D75)</f>
        <v>1.45</v>
      </c>
      <c r="C75" s="2">
        <v>1.385</v>
      </c>
      <c r="D75" s="2">
        <v>1.5149999999999999</v>
      </c>
      <c r="E75" s="2">
        <v>1.4179999999999999</v>
      </c>
    </row>
    <row r="76" spans="1:5" x14ac:dyDescent="0.25">
      <c r="A76">
        <v>100</v>
      </c>
      <c r="B76">
        <f>AVERAGE(C76:D76)</f>
        <v>1.4994999999999998</v>
      </c>
      <c r="C76" s="2">
        <v>1.446</v>
      </c>
      <c r="D76" s="2">
        <v>1.5529999999999999</v>
      </c>
      <c r="E76" s="2">
        <v>0.39600000000000002</v>
      </c>
    </row>
    <row r="77" spans="1:5" x14ac:dyDescent="0.25">
      <c r="A77">
        <v>100</v>
      </c>
      <c r="B77">
        <f>AVERAGE(C77:D77)</f>
        <v>1.5430000000000001</v>
      </c>
      <c r="C77" s="2">
        <v>1.524</v>
      </c>
      <c r="D77" s="2">
        <v>1.5620000000000001</v>
      </c>
      <c r="E77" s="2">
        <v>0.09</v>
      </c>
    </row>
    <row r="81" spans="3:5" x14ac:dyDescent="0.25">
      <c r="C81" s="3"/>
      <c r="D81" s="3"/>
      <c r="E81" s="3"/>
    </row>
    <row r="82" spans="3:5" x14ac:dyDescent="0.25">
      <c r="C82" s="3"/>
      <c r="D82" s="3"/>
      <c r="E82" s="3"/>
    </row>
    <row r="83" spans="3:5" x14ac:dyDescent="0.25">
      <c r="C83" s="3"/>
      <c r="D83" s="3"/>
      <c r="E83" s="3"/>
    </row>
    <row r="84" spans="3:5" x14ac:dyDescent="0.25">
      <c r="C84" s="3"/>
      <c r="D84" s="3"/>
      <c r="E84" s="3"/>
    </row>
    <row r="85" spans="3:5" x14ac:dyDescent="0.25">
      <c r="C85" s="3"/>
      <c r="D85" s="3"/>
      <c r="E85" s="3"/>
    </row>
    <row r="86" spans="3:5" x14ac:dyDescent="0.25">
      <c r="C86" s="3"/>
      <c r="D86" s="3"/>
      <c r="E86" s="3"/>
    </row>
    <row r="87" spans="3:5" x14ac:dyDescent="0.25">
      <c r="C87" s="3"/>
      <c r="D87" s="3"/>
      <c r="E87" s="3"/>
    </row>
    <row r="88" spans="3:5" x14ac:dyDescent="0.25">
      <c r="C88" s="3"/>
      <c r="D88" s="3"/>
      <c r="E8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795F-308A-481E-B049-6410FB7230EC}">
  <dimension ref="A1:N29"/>
  <sheetViews>
    <sheetView workbookViewId="0">
      <selection activeCell="P4" sqref="P4"/>
    </sheetView>
  </sheetViews>
  <sheetFormatPr defaultRowHeight="15" x14ac:dyDescent="0.25"/>
  <cols>
    <col min="1" max="1" width="10.85546875" customWidth="1"/>
  </cols>
  <sheetData>
    <row r="1" spans="1:14" x14ac:dyDescent="0.25">
      <c r="A1" s="4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t="s">
        <v>0</v>
      </c>
    </row>
    <row r="2" spans="1:14" x14ac:dyDescent="0.25">
      <c r="A2" s="5" t="s">
        <v>12</v>
      </c>
      <c r="B2" s="2">
        <v>5.8000000000000003E-2</v>
      </c>
      <c r="C2" s="2">
        <v>5.5E-2</v>
      </c>
      <c r="D2" s="2">
        <v>5.8000000000000003E-2</v>
      </c>
      <c r="E2" s="2">
        <v>0.186</v>
      </c>
      <c r="F2" s="2">
        <v>0.16</v>
      </c>
      <c r="G2" s="2">
        <v>0.17399999999999999</v>
      </c>
      <c r="H2" s="2">
        <v>0.15</v>
      </c>
      <c r="I2" s="2">
        <v>0.16700000000000001</v>
      </c>
      <c r="J2" s="2">
        <v>0.16200000000000001</v>
      </c>
      <c r="K2" s="2">
        <v>0.59</v>
      </c>
      <c r="L2" s="2">
        <v>0.57899999999999996</v>
      </c>
      <c r="M2" s="2">
        <v>0.53100000000000003</v>
      </c>
      <c r="N2" s="6"/>
    </row>
    <row r="3" spans="1:14" x14ac:dyDescent="0.25">
      <c r="A3" s="5" t="s">
        <v>13</v>
      </c>
      <c r="B3" s="2">
        <v>0.126</v>
      </c>
      <c r="C3" s="2">
        <v>0.13800000000000001</v>
      </c>
      <c r="D3" s="2">
        <v>0.17100000000000001</v>
      </c>
      <c r="E3" s="2">
        <v>0.06</v>
      </c>
      <c r="F3" s="2">
        <v>6.3E-2</v>
      </c>
      <c r="G3" s="2">
        <v>0.06</v>
      </c>
      <c r="H3" s="2">
        <v>5.5E-2</v>
      </c>
      <c r="I3" s="2">
        <v>5.2999999999999999E-2</v>
      </c>
      <c r="J3" s="2">
        <v>5.2999999999999999E-2</v>
      </c>
      <c r="K3" s="2">
        <v>5.8000000000000003E-2</v>
      </c>
      <c r="L3" s="2">
        <v>5.6000000000000001E-2</v>
      </c>
      <c r="M3" s="2">
        <v>5.6000000000000001E-2</v>
      </c>
      <c r="N3" s="6"/>
    </row>
    <row r="4" spans="1:14" x14ac:dyDescent="0.25">
      <c r="A4" s="5" t="s">
        <v>14</v>
      </c>
      <c r="B4" s="2">
        <v>0.34599999999999997</v>
      </c>
      <c r="C4" s="2">
        <v>0.35599999999999998</v>
      </c>
      <c r="D4" s="2">
        <v>0.34599999999999997</v>
      </c>
      <c r="E4" s="2">
        <v>5.8000000000000003E-2</v>
      </c>
      <c r="F4" s="2">
        <v>5.8999999999999997E-2</v>
      </c>
      <c r="G4" s="2">
        <v>6.2E-2</v>
      </c>
      <c r="H4" s="2">
        <v>0.193</v>
      </c>
      <c r="I4" s="2">
        <v>0.17</v>
      </c>
      <c r="J4" s="2">
        <v>0.17399999999999999</v>
      </c>
      <c r="K4" s="2">
        <v>0.53900000000000003</v>
      </c>
      <c r="L4" s="2">
        <v>0.41</v>
      </c>
      <c r="M4" s="2">
        <v>0.39800000000000002</v>
      </c>
      <c r="N4" s="6"/>
    </row>
    <row r="5" spans="1:14" x14ac:dyDescent="0.25">
      <c r="A5" s="5" t="s">
        <v>15</v>
      </c>
      <c r="B5" s="2">
        <v>0.50900000000000001</v>
      </c>
      <c r="C5" s="2">
        <v>0.65</v>
      </c>
      <c r="D5" s="2">
        <v>0.76200000000000001</v>
      </c>
      <c r="E5" s="2">
        <v>6.6000000000000003E-2</v>
      </c>
      <c r="F5" s="2">
        <v>6.9000000000000006E-2</v>
      </c>
      <c r="G5" s="2">
        <v>7.0000000000000007E-2</v>
      </c>
      <c r="H5" s="2">
        <v>0.45300000000000001</v>
      </c>
      <c r="I5" s="2">
        <v>0.44</v>
      </c>
      <c r="J5" s="2">
        <v>0.43</v>
      </c>
      <c r="K5" s="2">
        <v>0.70699999999999996</v>
      </c>
      <c r="L5" s="2">
        <v>0.73499999999999999</v>
      </c>
      <c r="M5" s="2">
        <v>0.60399999999999998</v>
      </c>
      <c r="N5" s="6"/>
    </row>
    <row r="6" spans="1:14" x14ac:dyDescent="0.25">
      <c r="A6" s="5" t="s">
        <v>16</v>
      </c>
      <c r="B6" s="2">
        <v>0.88100000000000001</v>
      </c>
      <c r="C6" s="2">
        <v>1.02</v>
      </c>
      <c r="D6" s="2">
        <v>1.0640000000000001</v>
      </c>
      <c r="E6" s="2">
        <v>5.8999999999999997E-2</v>
      </c>
      <c r="F6" s="2">
        <v>6.4000000000000001E-2</v>
      </c>
      <c r="G6" s="2">
        <v>6.3E-2</v>
      </c>
      <c r="H6" s="2">
        <v>0.37</v>
      </c>
      <c r="I6" s="2">
        <v>0.30599999999999999</v>
      </c>
      <c r="J6" s="2">
        <v>0.29599999999999999</v>
      </c>
      <c r="K6" s="2">
        <v>0.11799999999999999</v>
      </c>
      <c r="L6" s="2">
        <v>0.121</v>
      </c>
      <c r="M6" s="2">
        <v>0.11700000000000001</v>
      </c>
      <c r="N6" s="6"/>
    </row>
    <row r="7" spans="1:14" x14ac:dyDescent="0.25">
      <c r="A7" s="5" t="s">
        <v>17</v>
      </c>
      <c r="B7" s="2">
        <v>1.837</v>
      </c>
      <c r="C7" s="2">
        <v>1.655</v>
      </c>
      <c r="D7" s="2">
        <v>1.528</v>
      </c>
      <c r="E7" s="2">
        <v>6.4000000000000001E-2</v>
      </c>
      <c r="F7" s="2">
        <v>6.6000000000000003E-2</v>
      </c>
      <c r="G7" s="2">
        <v>6.8000000000000005E-2</v>
      </c>
      <c r="H7" s="2">
        <v>0.32</v>
      </c>
      <c r="I7" s="2">
        <v>0.30199999999999999</v>
      </c>
      <c r="J7" s="2">
        <v>0.29899999999999999</v>
      </c>
      <c r="K7" s="2">
        <v>1.194</v>
      </c>
      <c r="L7" s="2">
        <v>1.163</v>
      </c>
      <c r="M7" s="2">
        <v>1.145</v>
      </c>
      <c r="N7" s="6"/>
    </row>
    <row r="8" spans="1:14" x14ac:dyDescent="0.25">
      <c r="A8" s="5" t="s">
        <v>18</v>
      </c>
      <c r="B8" s="2">
        <v>1.601</v>
      </c>
      <c r="C8" s="2">
        <v>1.56</v>
      </c>
      <c r="D8" s="2">
        <v>1.675</v>
      </c>
      <c r="E8" s="2">
        <v>0.13100000000000001</v>
      </c>
      <c r="F8" s="2">
        <v>0.13</v>
      </c>
      <c r="G8" s="2">
        <v>0.11700000000000001</v>
      </c>
      <c r="H8" s="2">
        <v>0.17599999999999999</v>
      </c>
      <c r="I8" s="2">
        <v>0.17399999999999999</v>
      </c>
      <c r="J8" s="2">
        <v>0.16900000000000001</v>
      </c>
      <c r="K8" s="2">
        <v>1.0920000000000001</v>
      </c>
      <c r="L8" s="2">
        <v>1.62</v>
      </c>
      <c r="M8" s="2">
        <v>1.3460000000000001</v>
      </c>
      <c r="N8" s="6"/>
    </row>
    <row r="9" spans="1:14" x14ac:dyDescent="0.25">
      <c r="A9" s="5" t="s">
        <v>19</v>
      </c>
      <c r="B9" s="2">
        <v>1.889</v>
      </c>
      <c r="C9" s="2">
        <v>1.5429999999999999</v>
      </c>
      <c r="D9" s="2">
        <v>1.954</v>
      </c>
      <c r="E9" s="2">
        <v>0.105</v>
      </c>
      <c r="F9" s="2">
        <v>9.6000000000000002E-2</v>
      </c>
      <c r="G9" s="2">
        <v>0.106</v>
      </c>
      <c r="H9" s="2">
        <v>0.60599999999999998</v>
      </c>
      <c r="I9" s="2">
        <v>0.76600000000000001</v>
      </c>
      <c r="J9" s="2">
        <v>0.55800000000000005</v>
      </c>
      <c r="K9" s="2">
        <v>1.59</v>
      </c>
      <c r="L9" s="2">
        <v>1.36</v>
      </c>
      <c r="M9" s="2">
        <v>1.3740000000000001</v>
      </c>
      <c r="N9" s="6"/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33</v>
      </c>
      <c r="F12" s="7" t="s">
        <v>33</v>
      </c>
      <c r="G12" s="7" t="s">
        <v>33</v>
      </c>
      <c r="H12" s="7" t="s">
        <v>41</v>
      </c>
      <c r="I12" s="7" t="s">
        <v>41</v>
      </c>
      <c r="J12" s="7" t="s">
        <v>41</v>
      </c>
      <c r="K12" s="7" t="s">
        <v>49</v>
      </c>
      <c r="L12" s="7" t="s">
        <v>49</v>
      </c>
      <c r="M12" s="7" t="s">
        <v>49</v>
      </c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34</v>
      </c>
      <c r="F13" s="7" t="s">
        <v>34</v>
      </c>
      <c r="G13" s="7" t="s">
        <v>34</v>
      </c>
      <c r="H13" s="7" t="s">
        <v>42</v>
      </c>
      <c r="I13" s="7" t="s">
        <v>42</v>
      </c>
      <c r="J13" s="7" t="s">
        <v>42</v>
      </c>
      <c r="K13" s="7" t="s">
        <v>50</v>
      </c>
      <c r="L13" s="7" t="s">
        <v>50</v>
      </c>
      <c r="M13" s="7" t="s">
        <v>50</v>
      </c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35</v>
      </c>
      <c r="F14" s="7" t="s">
        <v>35</v>
      </c>
      <c r="G14" s="7" t="s">
        <v>35</v>
      </c>
      <c r="H14" s="7" t="s">
        <v>43</v>
      </c>
      <c r="I14" s="7" t="s">
        <v>43</v>
      </c>
      <c r="J14" s="7" t="s">
        <v>43</v>
      </c>
      <c r="K14" s="7" t="s">
        <v>51</v>
      </c>
      <c r="L14" s="7" t="s">
        <v>51</v>
      </c>
      <c r="M14" s="7" t="s">
        <v>51</v>
      </c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36</v>
      </c>
      <c r="F15" s="7" t="s">
        <v>36</v>
      </c>
      <c r="G15" s="7" t="s">
        <v>36</v>
      </c>
      <c r="H15" s="7" t="s">
        <v>44</v>
      </c>
      <c r="I15" s="7" t="s">
        <v>44</v>
      </c>
      <c r="J15" s="7" t="s">
        <v>44</v>
      </c>
      <c r="K15" s="7" t="s">
        <v>52</v>
      </c>
      <c r="L15" s="7" t="s">
        <v>52</v>
      </c>
      <c r="M15" s="7" t="s">
        <v>52</v>
      </c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37</v>
      </c>
      <c r="F16" s="7" t="s">
        <v>37</v>
      </c>
      <c r="G16" s="7" t="s">
        <v>37</v>
      </c>
      <c r="H16" s="7" t="s">
        <v>45</v>
      </c>
      <c r="I16" s="7" t="s">
        <v>45</v>
      </c>
      <c r="J16" s="7" t="s">
        <v>45</v>
      </c>
      <c r="K16" s="7" t="s">
        <v>53</v>
      </c>
      <c r="L16" s="7" t="s">
        <v>53</v>
      </c>
      <c r="M16" s="7" t="s">
        <v>53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38</v>
      </c>
      <c r="F17" s="7" t="s">
        <v>38</v>
      </c>
      <c r="G17" s="7" t="s">
        <v>38</v>
      </c>
      <c r="H17" s="7" t="s">
        <v>46</v>
      </c>
      <c r="I17" s="7" t="s">
        <v>46</v>
      </c>
      <c r="J17" s="7" t="s">
        <v>46</v>
      </c>
      <c r="K17" s="7" t="s">
        <v>54</v>
      </c>
      <c r="L17" s="7" t="s">
        <v>54</v>
      </c>
      <c r="M17" s="7" t="s">
        <v>54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39</v>
      </c>
      <c r="F18" s="7" t="s">
        <v>39</v>
      </c>
      <c r="G18" s="7" t="s">
        <v>39</v>
      </c>
      <c r="H18" s="7" t="s">
        <v>47</v>
      </c>
      <c r="I18" s="7" t="s">
        <v>47</v>
      </c>
      <c r="J18" s="7" t="s">
        <v>47</v>
      </c>
      <c r="K18" s="7" t="s">
        <v>55</v>
      </c>
      <c r="L18" s="7" t="s">
        <v>55</v>
      </c>
      <c r="M18" s="7" t="s">
        <v>55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40</v>
      </c>
      <c r="F19" s="7" t="s">
        <v>40</v>
      </c>
      <c r="G19" s="7" t="s">
        <v>40</v>
      </c>
      <c r="H19" s="7" t="s">
        <v>48</v>
      </c>
      <c r="I19" s="7" t="s">
        <v>48</v>
      </c>
      <c r="J19" s="7" t="s">
        <v>48</v>
      </c>
      <c r="K19" s="7" t="s">
        <v>56</v>
      </c>
      <c r="L19" s="7" t="s">
        <v>56</v>
      </c>
      <c r="M19" s="7" t="s">
        <v>56</v>
      </c>
    </row>
    <row r="21" spans="1:13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25</v>
      </c>
      <c r="L27" s="2">
        <v>25</v>
      </c>
      <c r="M27" s="2">
        <v>25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25</v>
      </c>
      <c r="L28" s="2">
        <v>25</v>
      </c>
      <c r="M28" s="2">
        <v>25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25</v>
      </c>
      <c r="L29" s="2">
        <v>25</v>
      </c>
      <c r="M29" s="2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3A72-21F5-4C48-AA99-1574BF45D156}">
  <dimension ref="A1:N29"/>
  <sheetViews>
    <sheetView workbookViewId="0">
      <selection activeCell="N1" sqref="N1"/>
    </sheetView>
  </sheetViews>
  <sheetFormatPr defaultRowHeight="15" x14ac:dyDescent="0.25"/>
  <sheetData>
    <row r="1" spans="1:14" x14ac:dyDescent="0.25">
      <c r="A1" s="4" t="s">
        <v>31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t="s">
        <v>6</v>
      </c>
    </row>
    <row r="2" spans="1:14" x14ac:dyDescent="0.25">
      <c r="A2" s="5" t="s">
        <v>12</v>
      </c>
      <c r="B2" s="2">
        <v>5.3999999999999999E-2</v>
      </c>
      <c r="C2" s="2">
        <v>5.0999999999999997E-2</v>
      </c>
      <c r="D2" s="2">
        <v>4.8000000000000001E-2</v>
      </c>
      <c r="E2" s="2">
        <v>1.57</v>
      </c>
      <c r="F2" s="2">
        <v>1.4970000000000001</v>
      </c>
      <c r="G2" s="2">
        <v>1.32</v>
      </c>
      <c r="H2" s="2">
        <v>5.6000000000000001E-2</v>
      </c>
      <c r="I2" s="2">
        <v>5.8000000000000003E-2</v>
      </c>
      <c r="J2" s="2">
        <v>5.8000000000000003E-2</v>
      </c>
      <c r="K2" s="2">
        <v>1.88</v>
      </c>
      <c r="L2" s="2">
        <v>1.7829999999999999</v>
      </c>
      <c r="M2" s="2">
        <v>1.7669999999999999</v>
      </c>
    </row>
    <row r="3" spans="1:14" x14ac:dyDescent="0.25">
      <c r="A3" s="5" t="s">
        <v>13</v>
      </c>
      <c r="B3" s="2">
        <v>0.14799999999999999</v>
      </c>
      <c r="C3" s="2">
        <v>0.17100000000000001</v>
      </c>
      <c r="D3" s="2">
        <v>0.152</v>
      </c>
      <c r="E3" s="2">
        <v>0.126</v>
      </c>
      <c r="F3" s="2">
        <v>0.127</v>
      </c>
      <c r="G3" s="2">
        <v>0.13100000000000001</v>
      </c>
      <c r="H3" s="2">
        <v>5.6000000000000001E-2</v>
      </c>
      <c r="I3" s="2">
        <v>5.7000000000000002E-2</v>
      </c>
      <c r="J3" s="2">
        <v>5.6000000000000001E-2</v>
      </c>
      <c r="K3" s="2">
        <v>1.7190000000000001</v>
      </c>
      <c r="L3" s="2">
        <v>1.8839999999999999</v>
      </c>
      <c r="M3" s="2">
        <v>1.694</v>
      </c>
    </row>
    <row r="4" spans="1:14" x14ac:dyDescent="0.25">
      <c r="A4" s="5" t="s">
        <v>14</v>
      </c>
      <c r="B4" s="2">
        <v>0.32100000000000001</v>
      </c>
      <c r="C4" s="2">
        <v>0.32700000000000001</v>
      </c>
      <c r="D4" s="2">
        <v>0.34599999999999997</v>
      </c>
      <c r="E4" s="2">
        <v>8.3000000000000004E-2</v>
      </c>
      <c r="F4" s="2">
        <v>0.08</v>
      </c>
      <c r="G4" s="2">
        <v>8.2000000000000003E-2</v>
      </c>
      <c r="H4" s="2">
        <v>5.8000000000000003E-2</v>
      </c>
      <c r="I4" s="2">
        <v>5.2999999999999999E-2</v>
      </c>
      <c r="J4" s="2">
        <v>5.3999999999999999E-2</v>
      </c>
      <c r="K4" s="2">
        <v>1.9410000000000001</v>
      </c>
      <c r="L4" s="2">
        <v>1.8340000000000001</v>
      </c>
      <c r="M4" s="2">
        <v>1.746</v>
      </c>
    </row>
    <row r="5" spans="1:14" x14ac:dyDescent="0.25">
      <c r="A5" s="5" t="s">
        <v>15</v>
      </c>
      <c r="B5" s="2">
        <v>0.59299999999999997</v>
      </c>
      <c r="C5" s="2">
        <v>0.72</v>
      </c>
      <c r="D5" s="2">
        <v>0.84699999999999998</v>
      </c>
      <c r="E5" s="2">
        <v>6.8000000000000005E-2</v>
      </c>
      <c r="F5" s="2">
        <v>6.7000000000000004E-2</v>
      </c>
      <c r="G5" s="2">
        <v>6.7000000000000004E-2</v>
      </c>
      <c r="H5" s="2">
        <v>5.5E-2</v>
      </c>
      <c r="I5" s="2">
        <v>5.5E-2</v>
      </c>
      <c r="J5" s="2">
        <v>5.6000000000000001E-2</v>
      </c>
      <c r="K5" s="2">
        <v>1.8120000000000001</v>
      </c>
      <c r="L5" s="2">
        <v>1.8220000000000001</v>
      </c>
      <c r="M5" s="2">
        <v>1.7989999999999999</v>
      </c>
    </row>
    <row r="6" spans="1:14" x14ac:dyDescent="0.25">
      <c r="A6" s="5" t="s">
        <v>16</v>
      </c>
      <c r="B6" s="2">
        <v>1.2030000000000001</v>
      </c>
      <c r="C6" s="2">
        <v>1.0629999999999999</v>
      </c>
      <c r="D6" s="2">
        <v>1.121</v>
      </c>
      <c r="E6" s="2">
        <v>5.6000000000000001E-2</v>
      </c>
      <c r="F6" s="2">
        <v>5.5E-2</v>
      </c>
      <c r="G6" s="2">
        <v>5.8000000000000003E-2</v>
      </c>
      <c r="H6" s="2">
        <v>1.516</v>
      </c>
      <c r="I6" s="2">
        <v>1.365</v>
      </c>
      <c r="J6" s="2">
        <v>1.258</v>
      </c>
      <c r="K6" s="2">
        <v>0.89500000000000002</v>
      </c>
      <c r="L6" s="2">
        <v>0.93700000000000006</v>
      </c>
      <c r="M6" s="2">
        <v>0.82599999999999996</v>
      </c>
    </row>
    <row r="7" spans="1:14" x14ac:dyDescent="0.25">
      <c r="A7" s="5" t="s">
        <v>17</v>
      </c>
      <c r="B7" s="2">
        <v>1.8680000000000001</v>
      </c>
      <c r="C7" s="2">
        <v>1.6719999999999999</v>
      </c>
      <c r="D7" s="2">
        <v>1.95</v>
      </c>
      <c r="E7" s="2">
        <v>5.8999999999999997E-2</v>
      </c>
      <c r="F7" s="2">
        <v>5.1999999999999998E-2</v>
      </c>
      <c r="G7" s="2">
        <v>5.8999999999999997E-2</v>
      </c>
      <c r="H7" s="2">
        <v>1.43</v>
      </c>
      <c r="I7" s="2">
        <v>1.367</v>
      </c>
      <c r="J7" s="2">
        <v>1.3260000000000001</v>
      </c>
      <c r="K7" s="2">
        <v>1.1100000000000001</v>
      </c>
      <c r="L7" s="2">
        <v>0.90700000000000003</v>
      </c>
      <c r="M7" s="2">
        <v>0.873</v>
      </c>
    </row>
    <row r="8" spans="1:14" x14ac:dyDescent="0.25">
      <c r="A8" s="5" t="s">
        <v>18</v>
      </c>
      <c r="B8" s="2">
        <v>1.6739999999999999</v>
      </c>
      <c r="C8" s="2">
        <v>1.57</v>
      </c>
      <c r="D8" s="2">
        <v>1.714</v>
      </c>
      <c r="E8" s="2">
        <v>5.7000000000000002E-2</v>
      </c>
      <c r="F8" s="2">
        <v>5.6000000000000001E-2</v>
      </c>
      <c r="G8" s="2">
        <v>5.3999999999999999E-2</v>
      </c>
      <c r="H8" s="2">
        <v>1.7070000000000001</v>
      </c>
      <c r="I8" s="2">
        <v>1.601</v>
      </c>
      <c r="J8" s="2">
        <v>1.5680000000000001</v>
      </c>
      <c r="K8" s="2">
        <v>1.6439999999999999</v>
      </c>
      <c r="L8" s="2">
        <v>1.504</v>
      </c>
      <c r="M8" s="2">
        <v>1.3320000000000001</v>
      </c>
    </row>
    <row r="9" spans="1:14" x14ac:dyDescent="0.25">
      <c r="A9" s="5" t="s">
        <v>19</v>
      </c>
      <c r="B9" s="2">
        <v>1.891</v>
      </c>
      <c r="C9" s="2">
        <v>1.645</v>
      </c>
      <c r="D9" s="2">
        <v>1.714</v>
      </c>
      <c r="E9" s="2">
        <v>5.1999999999999998E-2</v>
      </c>
      <c r="F9" s="2">
        <v>4.9000000000000002E-2</v>
      </c>
      <c r="G9" s="2">
        <v>5.3999999999999999E-2</v>
      </c>
      <c r="H9" s="2">
        <v>2.0760000000000001</v>
      </c>
      <c r="I9" s="2">
        <v>1.9239999999999999</v>
      </c>
      <c r="J9" s="2">
        <v>1.794</v>
      </c>
      <c r="K9" s="2">
        <v>5.3999999999999999E-2</v>
      </c>
      <c r="L9" s="2">
        <v>5.2999999999999999E-2</v>
      </c>
      <c r="M9" s="2">
        <v>5.7000000000000002E-2</v>
      </c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57</v>
      </c>
      <c r="F12" s="7" t="s">
        <v>57</v>
      </c>
      <c r="G12" s="7" t="s">
        <v>57</v>
      </c>
      <c r="H12" s="7" t="s">
        <v>65</v>
      </c>
      <c r="I12" s="7" t="s">
        <v>65</v>
      </c>
      <c r="J12" s="7" t="s">
        <v>65</v>
      </c>
      <c r="K12" s="7" t="s">
        <v>73</v>
      </c>
      <c r="L12" s="7" t="s">
        <v>73</v>
      </c>
      <c r="M12" s="7" t="s">
        <v>73</v>
      </c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58</v>
      </c>
      <c r="F13" s="7" t="s">
        <v>58</v>
      </c>
      <c r="G13" s="7" t="s">
        <v>58</v>
      </c>
      <c r="H13" s="7" t="s">
        <v>66</v>
      </c>
      <c r="I13" s="7" t="s">
        <v>66</v>
      </c>
      <c r="J13" s="7" t="s">
        <v>66</v>
      </c>
      <c r="K13" s="7" t="s">
        <v>75</v>
      </c>
      <c r="L13" s="7" t="s">
        <v>75</v>
      </c>
      <c r="M13" s="7" t="s">
        <v>75</v>
      </c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59</v>
      </c>
      <c r="F14" s="7" t="s">
        <v>59</v>
      </c>
      <c r="G14" s="7" t="s">
        <v>59</v>
      </c>
      <c r="H14" s="7" t="s">
        <v>67</v>
      </c>
      <c r="I14" s="7" t="s">
        <v>67</v>
      </c>
      <c r="J14" s="7" t="s">
        <v>67</v>
      </c>
      <c r="K14" s="7" t="s">
        <v>76</v>
      </c>
      <c r="L14" s="7" t="s">
        <v>76</v>
      </c>
      <c r="M14" s="7" t="s">
        <v>76</v>
      </c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60</v>
      </c>
      <c r="F15" s="7" t="s">
        <v>60</v>
      </c>
      <c r="G15" s="7" t="s">
        <v>60</v>
      </c>
      <c r="H15" s="7" t="s">
        <v>68</v>
      </c>
      <c r="I15" s="7" t="s">
        <v>68</v>
      </c>
      <c r="J15" s="7" t="s">
        <v>68</v>
      </c>
      <c r="K15" s="7" t="s">
        <v>74</v>
      </c>
      <c r="L15" s="7" t="s">
        <v>74</v>
      </c>
      <c r="M15" s="7" t="s">
        <v>74</v>
      </c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61</v>
      </c>
      <c r="F16" s="7" t="s">
        <v>61</v>
      </c>
      <c r="G16" s="7" t="s">
        <v>61</v>
      </c>
      <c r="H16" s="7" t="s">
        <v>69</v>
      </c>
      <c r="I16" s="7" t="s">
        <v>69</v>
      </c>
      <c r="J16" s="7" t="s">
        <v>69</v>
      </c>
      <c r="K16" s="7" t="s">
        <v>77</v>
      </c>
      <c r="L16" s="7" t="s">
        <v>77</v>
      </c>
      <c r="M16" s="7" t="s">
        <v>77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62</v>
      </c>
      <c r="F17" s="7" t="s">
        <v>62</v>
      </c>
      <c r="G17" s="7" t="s">
        <v>62</v>
      </c>
      <c r="H17" s="7" t="s">
        <v>70</v>
      </c>
      <c r="I17" s="7" t="s">
        <v>70</v>
      </c>
      <c r="J17" s="7" t="s">
        <v>70</v>
      </c>
      <c r="K17" s="7" t="s">
        <v>78</v>
      </c>
      <c r="L17" s="7" t="s">
        <v>78</v>
      </c>
      <c r="M17" s="7" t="s">
        <v>78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63</v>
      </c>
      <c r="F18" s="7" t="s">
        <v>63</v>
      </c>
      <c r="G18" s="7" t="s">
        <v>63</v>
      </c>
      <c r="H18" s="7" t="s">
        <v>72</v>
      </c>
      <c r="I18" s="7" t="s">
        <v>72</v>
      </c>
      <c r="J18" s="7" t="s">
        <v>72</v>
      </c>
      <c r="K18" s="7" t="s">
        <v>79</v>
      </c>
      <c r="L18" s="7" t="s">
        <v>79</v>
      </c>
      <c r="M18" s="7" t="s">
        <v>79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64</v>
      </c>
      <c r="F19" s="7" t="s">
        <v>64</v>
      </c>
      <c r="G19" s="7" t="s">
        <v>64</v>
      </c>
      <c r="H19" s="7" t="s">
        <v>71</v>
      </c>
      <c r="I19" s="7" t="s">
        <v>71</v>
      </c>
      <c r="J19" s="7" t="s">
        <v>71</v>
      </c>
      <c r="K19" s="7" t="s">
        <v>80</v>
      </c>
      <c r="L19" s="7" t="s">
        <v>80</v>
      </c>
      <c r="M19" s="7" t="s">
        <v>80</v>
      </c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25</v>
      </c>
      <c r="F22" s="2">
        <v>25</v>
      </c>
      <c r="G22" s="2">
        <v>25</v>
      </c>
      <c r="H22" s="2">
        <v>1</v>
      </c>
      <c r="I22" s="2">
        <v>1</v>
      </c>
      <c r="J22" s="2">
        <v>1</v>
      </c>
      <c r="K22" s="2">
        <v>25</v>
      </c>
      <c r="L22" s="2">
        <v>25</v>
      </c>
      <c r="M22" s="2">
        <v>25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25</v>
      </c>
      <c r="L23" s="2">
        <v>25</v>
      </c>
      <c r="M23" s="2">
        <v>25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25</v>
      </c>
      <c r="I26" s="2">
        <v>25</v>
      </c>
      <c r="J26" s="2">
        <v>25</v>
      </c>
      <c r="K26" s="2">
        <v>25</v>
      </c>
      <c r="L26" s="2">
        <v>25</v>
      </c>
      <c r="M26" s="2">
        <v>25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25</v>
      </c>
      <c r="I27" s="2">
        <v>25</v>
      </c>
      <c r="J27" s="2">
        <v>25</v>
      </c>
      <c r="K27" s="2">
        <v>25</v>
      </c>
      <c r="L27" s="2">
        <v>25</v>
      </c>
      <c r="M27" s="2">
        <v>25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25</v>
      </c>
      <c r="I28" s="2">
        <v>25</v>
      </c>
      <c r="J28" s="2">
        <v>25</v>
      </c>
      <c r="K28" s="2">
        <v>25</v>
      </c>
      <c r="L28" s="2">
        <v>25</v>
      </c>
      <c r="M28" s="2">
        <v>25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25</v>
      </c>
      <c r="I29" s="2">
        <v>25</v>
      </c>
      <c r="J29" s="2">
        <v>25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B8CB-2535-41F0-9219-545A28B891F6}">
  <dimension ref="A1:N29"/>
  <sheetViews>
    <sheetView workbookViewId="0">
      <selection activeCell="N1" sqref="N1"/>
    </sheetView>
  </sheetViews>
  <sheetFormatPr defaultRowHeight="15" x14ac:dyDescent="0.25"/>
  <sheetData>
    <row r="1" spans="1:14" x14ac:dyDescent="0.25">
      <c r="A1" s="4" t="s">
        <v>30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t="s">
        <v>7</v>
      </c>
    </row>
    <row r="2" spans="1:14" x14ac:dyDescent="0.25">
      <c r="A2" s="5" t="s">
        <v>12</v>
      </c>
      <c r="B2" s="2">
        <v>4.9000000000000002E-2</v>
      </c>
      <c r="C2" s="2">
        <v>4.9000000000000002E-2</v>
      </c>
      <c r="D2" s="2">
        <v>5.2999999999999999E-2</v>
      </c>
      <c r="E2" s="2">
        <v>5.6000000000000001E-2</v>
      </c>
      <c r="F2" s="2">
        <v>5.5E-2</v>
      </c>
      <c r="G2" s="2">
        <v>5.8000000000000003E-2</v>
      </c>
      <c r="H2" s="2">
        <v>5.2999999999999999E-2</v>
      </c>
      <c r="I2" s="2">
        <v>5.0999999999999997E-2</v>
      </c>
      <c r="J2" s="2">
        <v>5.5E-2</v>
      </c>
      <c r="K2" s="2">
        <v>6.2E-2</v>
      </c>
      <c r="L2" s="2">
        <v>5.1999999999999998E-2</v>
      </c>
      <c r="M2" s="2">
        <v>5.6000000000000001E-2</v>
      </c>
    </row>
    <row r="3" spans="1:14" x14ac:dyDescent="0.25">
      <c r="A3" s="5" t="s">
        <v>13</v>
      </c>
      <c r="B3" s="2">
        <v>0.14699999999999999</v>
      </c>
      <c r="C3" s="2">
        <v>0.153</v>
      </c>
      <c r="D3" s="2">
        <v>0.16</v>
      </c>
      <c r="E3" s="2">
        <v>5.5E-2</v>
      </c>
      <c r="F3" s="2">
        <v>5.5E-2</v>
      </c>
      <c r="G3" s="2">
        <v>5.5E-2</v>
      </c>
      <c r="H3" s="2">
        <v>5.5E-2</v>
      </c>
      <c r="I3" s="2">
        <v>5.3999999999999999E-2</v>
      </c>
      <c r="J3" s="2">
        <v>5.7000000000000002E-2</v>
      </c>
      <c r="K3" s="2">
        <v>0.38100000000000001</v>
      </c>
      <c r="L3" s="2">
        <v>0.34699999999999998</v>
      </c>
      <c r="M3" s="2">
        <v>0.4</v>
      </c>
    </row>
    <row r="4" spans="1:14" x14ac:dyDescent="0.25">
      <c r="A4" s="5" t="s">
        <v>14</v>
      </c>
      <c r="B4" s="2">
        <v>0.36799999999999999</v>
      </c>
      <c r="C4" s="2">
        <v>0.439</v>
      </c>
      <c r="D4" s="2">
        <v>0.32100000000000001</v>
      </c>
      <c r="E4" s="2">
        <v>6.3E-2</v>
      </c>
      <c r="F4" s="2">
        <v>5.2999999999999999E-2</v>
      </c>
      <c r="G4" s="2">
        <v>5.6000000000000001E-2</v>
      </c>
      <c r="H4" s="2">
        <v>0.39700000000000002</v>
      </c>
      <c r="I4" s="2">
        <v>0.44400000000000001</v>
      </c>
      <c r="J4" s="2">
        <v>0.47</v>
      </c>
      <c r="K4" s="2">
        <v>0.193</v>
      </c>
      <c r="L4" s="2">
        <v>0.184</v>
      </c>
      <c r="M4" s="2">
        <v>0.184</v>
      </c>
    </row>
    <row r="5" spans="1:14" x14ac:dyDescent="0.25">
      <c r="A5" s="5" t="s">
        <v>15</v>
      </c>
      <c r="B5" s="2">
        <v>0.80300000000000005</v>
      </c>
      <c r="C5" s="2">
        <v>0.59699999999999998</v>
      </c>
      <c r="D5" s="2">
        <v>0.58599999999999997</v>
      </c>
      <c r="E5" s="2">
        <v>5.2999999999999999E-2</v>
      </c>
      <c r="F5" s="2">
        <v>5.1999999999999998E-2</v>
      </c>
      <c r="G5" s="2">
        <v>5.5E-2</v>
      </c>
      <c r="H5" s="2">
        <v>0.13100000000000001</v>
      </c>
      <c r="I5" s="2">
        <v>0.124</v>
      </c>
      <c r="J5" s="2">
        <v>0.11700000000000001</v>
      </c>
      <c r="K5" s="2">
        <v>7.0000000000000007E-2</v>
      </c>
      <c r="L5" s="2">
        <v>6.2E-2</v>
      </c>
      <c r="M5" s="2">
        <v>6.5000000000000002E-2</v>
      </c>
    </row>
    <row r="6" spans="1:14" x14ac:dyDescent="0.25">
      <c r="A6" s="5" t="s">
        <v>16</v>
      </c>
      <c r="B6" s="2">
        <v>1.103</v>
      </c>
      <c r="C6" s="2">
        <v>1.0940000000000001</v>
      </c>
      <c r="D6" s="2">
        <v>1.012</v>
      </c>
      <c r="E6" s="2">
        <v>0.50600000000000001</v>
      </c>
      <c r="F6" s="2">
        <v>0.53400000000000003</v>
      </c>
      <c r="G6" s="2">
        <v>0.59399999999999997</v>
      </c>
      <c r="H6" s="2">
        <v>0.373</v>
      </c>
      <c r="I6" s="2">
        <v>0.37</v>
      </c>
      <c r="J6" s="2">
        <v>0.32600000000000001</v>
      </c>
      <c r="K6" s="2">
        <v>0.104</v>
      </c>
      <c r="L6" s="2">
        <v>9.6000000000000002E-2</v>
      </c>
      <c r="M6" s="2">
        <v>9.2999999999999999E-2</v>
      </c>
    </row>
    <row r="7" spans="1:14" x14ac:dyDescent="0.25">
      <c r="A7" s="5" t="s">
        <v>17</v>
      </c>
      <c r="B7" s="2">
        <v>1.863</v>
      </c>
      <c r="C7" s="2">
        <v>1.671</v>
      </c>
      <c r="D7" s="2">
        <v>1.72</v>
      </c>
      <c r="E7" s="2">
        <v>5.3999999999999999E-2</v>
      </c>
      <c r="F7" s="2">
        <v>5.8000000000000003E-2</v>
      </c>
      <c r="G7" s="2">
        <v>5.3999999999999999E-2</v>
      </c>
      <c r="H7" s="2">
        <v>0.374</v>
      </c>
      <c r="I7" s="2">
        <v>0.32800000000000001</v>
      </c>
      <c r="J7" s="2">
        <v>0.32700000000000001</v>
      </c>
      <c r="K7" s="2">
        <v>0.876</v>
      </c>
      <c r="L7" s="2">
        <v>0.79800000000000004</v>
      </c>
      <c r="M7" s="2">
        <v>0.82599999999999996</v>
      </c>
    </row>
    <row r="8" spans="1:14" x14ac:dyDescent="0.25">
      <c r="A8" s="5" t="s">
        <v>18</v>
      </c>
      <c r="B8" s="2">
        <v>1.573</v>
      </c>
      <c r="C8" s="2">
        <v>1.5629999999999999</v>
      </c>
      <c r="D8" s="2">
        <v>1.536</v>
      </c>
      <c r="E8" s="2">
        <v>5.5E-2</v>
      </c>
      <c r="F8" s="2">
        <v>5.6000000000000001E-2</v>
      </c>
      <c r="G8" s="2">
        <v>5.5E-2</v>
      </c>
      <c r="H8" s="2">
        <v>0.22700000000000001</v>
      </c>
      <c r="I8" s="2">
        <v>0.224</v>
      </c>
      <c r="J8" s="2">
        <v>0.23699999999999999</v>
      </c>
      <c r="K8" s="2">
        <v>0.129</v>
      </c>
      <c r="L8" s="2">
        <v>0.13200000000000001</v>
      </c>
      <c r="M8" s="2">
        <v>0.127</v>
      </c>
    </row>
    <row r="9" spans="1:14" x14ac:dyDescent="0.25">
      <c r="A9" s="5" t="s">
        <v>19</v>
      </c>
      <c r="B9" s="2">
        <v>1.617</v>
      </c>
      <c r="C9" s="2">
        <v>1.569</v>
      </c>
      <c r="D9" s="2">
        <v>1.659</v>
      </c>
      <c r="E9" s="2">
        <v>0.51900000000000002</v>
      </c>
      <c r="F9" s="2">
        <v>0.48299999999999998</v>
      </c>
      <c r="G9" s="2">
        <v>0.48499999999999999</v>
      </c>
      <c r="H9" s="2">
        <v>0.68700000000000006</v>
      </c>
      <c r="I9" s="2">
        <v>0.61499999999999999</v>
      </c>
      <c r="J9" s="2">
        <v>0.79</v>
      </c>
      <c r="K9" s="8">
        <v>2.1869999999999998</v>
      </c>
      <c r="L9" s="8">
        <v>2.1800000000000002</v>
      </c>
      <c r="M9" s="8">
        <v>2.0379999999999998</v>
      </c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81</v>
      </c>
      <c r="F12" s="7" t="s">
        <v>81</v>
      </c>
      <c r="G12" s="7" t="s">
        <v>81</v>
      </c>
      <c r="H12" s="7" t="s">
        <v>89</v>
      </c>
      <c r="I12" s="7" t="s">
        <v>89</v>
      </c>
      <c r="J12" s="7" t="s">
        <v>89</v>
      </c>
      <c r="K12" s="7" t="s">
        <v>97</v>
      </c>
      <c r="L12" s="7" t="s">
        <v>97</v>
      </c>
      <c r="M12" s="7" t="s">
        <v>97</v>
      </c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82</v>
      </c>
      <c r="F13" s="7" t="s">
        <v>82</v>
      </c>
      <c r="G13" s="7" t="s">
        <v>82</v>
      </c>
      <c r="H13" s="7" t="s">
        <v>90</v>
      </c>
      <c r="I13" s="7" t="s">
        <v>90</v>
      </c>
      <c r="J13" s="7" t="s">
        <v>90</v>
      </c>
      <c r="K13" s="7" t="s">
        <v>99</v>
      </c>
      <c r="L13" s="7" t="s">
        <v>99</v>
      </c>
      <c r="M13" s="7" t="s">
        <v>99</v>
      </c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83</v>
      </c>
      <c r="F14" s="7" t="s">
        <v>83</v>
      </c>
      <c r="G14" s="7" t="s">
        <v>83</v>
      </c>
      <c r="H14" s="7" t="s">
        <v>91</v>
      </c>
      <c r="I14" s="7" t="s">
        <v>91</v>
      </c>
      <c r="J14" s="7" t="s">
        <v>91</v>
      </c>
      <c r="K14" s="7" t="s">
        <v>100</v>
      </c>
      <c r="L14" s="7" t="s">
        <v>100</v>
      </c>
      <c r="M14" s="7" t="s">
        <v>100</v>
      </c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84</v>
      </c>
      <c r="F15" s="7" t="s">
        <v>84</v>
      </c>
      <c r="G15" s="7" t="s">
        <v>84</v>
      </c>
      <c r="H15" s="7" t="s">
        <v>92</v>
      </c>
      <c r="I15" s="7" t="s">
        <v>92</v>
      </c>
      <c r="J15" s="7" t="s">
        <v>92</v>
      </c>
      <c r="K15" s="7" t="s">
        <v>101</v>
      </c>
      <c r="L15" s="7" t="s">
        <v>101</v>
      </c>
      <c r="M15" s="7" t="s">
        <v>101</v>
      </c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85</v>
      </c>
      <c r="F16" s="7" t="s">
        <v>85</v>
      </c>
      <c r="G16" s="7" t="s">
        <v>85</v>
      </c>
      <c r="H16" s="7" t="s">
        <v>93</v>
      </c>
      <c r="I16" s="7" t="s">
        <v>93</v>
      </c>
      <c r="J16" s="7" t="s">
        <v>93</v>
      </c>
      <c r="K16" s="7" t="s">
        <v>98</v>
      </c>
      <c r="L16" s="7" t="s">
        <v>98</v>
      </c>
      <c r="M16" s="7" t="s">
        <v>98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86</v>
      </c>
      <c r="F17" s="7" t="s">
        <v>86</v>
      </c>
      <c r="G17" s="7" t="s">
        <v>86</v>
      </c>
      <c r="H17" s="7" t="s">
        <v>94</v>
      </c>
      <c r="I17" s="7" t="s">
        <v>94</v>
      </c>
      <c r="J17" s="7" t="s">
        <v>94</v>
      </c>
      <c r="K17" s="7" t="s">
        <v>102</v>
      </c>
      <c r="L17" s="7" t="s">
        <v>102</v>
      </c>
      <c r="M17" s="7" t="s">
        <v>102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87</v>
      </c>
      <c r="F18" s="7" t="s">
        <v>87</v>
      </c>
      <c r="G18" s="7" t="s">
        <v>87</v>
      </c>
      <c r="H18" s="7" t="s">
        <v>95</v>
      </c>
      <c r="I18" s="7" t="s">
        <v>95</v>
      </c>
      <c r="J18" s="7" t="s">
        <v>95</v>
      </c>
      <c r="K18" s="7" t="s">
        <v>103</v>
      </c>
      <c r="L18" s="7" t="s">
        <v>103</v>
      </c>
      <c r="M18" s="7" t="s">
        <v>103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88</v>
      </c>
      <c r="F19" s="7" t="s">
        <v>88</v>
      </c>
      <c r="G19" s="7" t="s">
        <v>88</v>
      </c>
      <c r="H19" s="7" t="s">
        <v>96</v>
      </c>
      <c r="I19" s="7" t="s">
        <v>96</v>
      </c>
      <c r="J19" s="7" t="s">
        <v>96</v>
      </c>
      <c r="K19" s="7" t="s">
        <v>104</v>
      </c>
      <c r="L19" s="7" t="s">
        <v>104</v>
      </c>
      <c r="M19" s="7" t="s">
        <v>104</v>
      </c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B94D-19CA-455E-A862-7EAF25E75130}">
  <dimension ref="A1:N29"/>
  <sheetViews>
    <sheetView workbookViewId="0">
      <selection activeCell="N1" sqref="N1"/>
    </sheetView>
  </sheetViews>
  <sheetFormatPr defaultRowHeight="15" x14ac:dyDescent="0.25"/>
  <sheetData>
    <row r="1" spans="1:14" x14ac:dyDescent="0.25">
      <c r="A1" s="4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t="s">
        <v>8</v>
      </c>
    </row>
    <row r="2" spans="1:14" x14ac:dyDescent="0.25">
      <c r="A2" s="5" t="s">
        <v>12</v>
      </c>
      <c r="B2" s="2">
        <v>6.0999999999999999E-2</v>
      </c>
      <c r="C2" s="2">
        <v>5.2999999999999999E-2</v>
      </c>
      <c r="D2" s="2">
        <v>5.5E-2</v>
      </c>
      <c r="E2" s="8">
        <v>2.56</v>
      </c>
      <c r="F2" s="8">
        <v>2.552</v>
      </c>
      <c r="G2" s="8">
        <v>2.6030000000000002</v>
      </c>
      <c r="H2" s="2">
        <v>0.125</v>
      </c>
      <c r="I2" s="2">
        <v>0.126</v>
      </c>
      <c r="J2" s="2">
        <v>0.124</v>
      </c>
      <c r="K2" s="2">
        <v>0.189</v>
      </c>
      <c r="L2" s="2">
        <v>0.19500000000000001</v>
      </c>
      <c r="M2" s="2">
        <v>0.17</v>
      </c>
    </row>
    <row r="3" spans="1:14" x14ac:dyDescent="0.25">
      <c r="A3" s="5" t="s">
        <v>13</v>
      </c>
      <c r="B3" s="2">
        <v>0.14299999999999999</v>
      </c>
      <c r="C3" s="2">
        <v>0.17699999999999999</v>
      </c>
      <c r="D3" s="2">
        <v>0.155</v>
      </c>
      <c r="E3" s="2">
        <v>7.3999999999999996E-2</v>
      </c>
      <c r="F3" s="2">
        <v>7.0999999999999994E-2</v>
      </c>
      <c r="G3" s="2">
        <v>7.2999999999999995E-2</v>
      </c>
      <c r="H3" s="2">
        <v>0.186</v>
      </c>
      <c r="I3" s="2">
        <v>0.184</v>
      </c>
      <c r="J3" s="2">
        <v>0.191</v>
      </c>
      <c r="K3" s="2">
        <v>0.30299999999999999</v>
      </c>
      <c r="L3" s="2">
        <v>0.33700000000000002</v>
      </c>
      <c r="M3" s="2">
        <v>0.314</v>
      </c>
    </row>
    <row r="4" spans="1:14" x14ac:dyDescent="0.25">
      <c r="A4" s="5" t="s">
        <v>14</v>
      </c>
      <c r="B4" s="2">
        <v>0.35299999999999998</v>
      </c>
      <c r="C4" s="2">
        <v>0.29199999999999998</v>
      </c>
      <c r="D4" s="2">
        <v>0.31900000000000001</v>
      </c>
      <c r="E4" s="2">
        <v>0.43</v>
      </c>
      <c r="F4" s="2">
        <v>0.438</v>
      </c>
      <c r="G4" s="2">
        <v>0.39700000000000002</v>
      </c>
      <c r="H4" s="2">
        <v>0.69599999999999995</v>
      </c>
      <c r="I4" s="2">
        <v>0.69399999999999995</v>
      </c>
      <c r="J4" s="2">
        <v>0.72399999999999998</v>
      </c>
      <c r="K4" s="2">
        <v>5.1999999999999998E-2</v>
      </c>
      <c r="L4" s="2">
        <v>5.5E-2</v>
      </c>
      <c r="M4" s="2">
        <v>5.6000000000000001E-2</v>
      </c>
    </row>
    <row r="5" spans="1:14" x14ac:dyDescent="0.25">
      <c r="A5" s="5" t="s">
        <v>15</v>
      </c>
      <c r="B5" s="2">
        <v>0.76800000000000002</v>
      </c>
      <c r="C5" s="2">
        <v>0.55200000000000005</v>
      </c>
      <c r="D5" s="2">
        <v>0.69099999999999995</v>
      </c>
      <c r="E5" s="8">
        <v>2.7370000000000001</v>
      </c>
      <c r="F5" s="8">
        <v>2.6190000000000002</v>
      </c>
      <c r="G5" s="8">
        <v>2.5249999999999999</v>
      </c>
      <c r="H5" s="2">
        <v>9.6000000000000002E-2</v>
      </c>
      <c r="I5" s="2">
        <v>9.6000000000000002E-2</v>
      </c>
      <c r="J5" s="2">
        <v>9.9000000000000005E-2</v>
      </c>
      <c r="K5" s="2">
        <v>5.2999999999999999E-2</v>
      </c>
      <c r="L5" s="2">
        <v>5.3999999999999999E-2</v>
      </c>
      <c r="M5" s="2">
        <v>5.8999999999999997E-2</v>
      </c>
    </row>
    <row r="6" spans="1:14" x14ac:dyDescent="0.25">
      <c r="A6" s="5" t="s">
        <v>16</v>
      </c>
      <c r="B6" s="2">
        <v>1.1519999999999999</v>
      </c>
      <c r="C6" s="2">
        <v>1.1120000000000001</v>
      </c>
      <c r="D6" s="2">
        <v>1.0780000000000001</v>
      </c>
      <c r="E6" s="2">
        <v>7.3999999999999996E-2</v>
      </c>
      <c r="F6" s="2">
        <v>7.1999999999999995E-2</v>
      </c>
      <c r="G6" s="2">
        <v>7.0999999999999994E-2</v>
      </c>
      <c r="H6" s="2">
        <v>9.6000000000000002E-2</v>
      </c>
      <c r="I6" s="2">
        <v>9.7000000000000003E-2</v>
      </c>
      <c r="J6" s="2">
        <v>9.4E-2</v>
      </c>
      <c r="K6" s="2">
        <v>5.2999999999999999E-2</v>
      </c>
      <c r="L6" s="2">
        <v>5.7000000000000002E-2</v>
      </c>
      <c r="M6" s="2">
        <v>5.2999999999999999E-2</v>
      </c>
    </row>
    <row r="7" spans="1:14" x14ac:dyDescent="0.25">
      <c r="A7" s="5" t="s">
        <v>17</v>
      </c>
      <c r="B7" s="2">
        <v>1.8660000000000001</v>
      </c>
      <c r="C7" s="2">
        <v>1.774</v>
      </c>
      <c r="D7" s="2">
        <v>1.56</v>
      </c>
      <c r="E7" s="2">
        <v>0.185</v>
      </c>
      <c r="F7" s="2">
        <v>0.16700000000000001</v>
      </c>
      <c r="G7" s="2">
        <v>0.19400000000000001</v>
      </c>
      <c r="H7" s="2">
        <v>9.7000000000000003E-2</v>
      </c>
      <c r="I7" s="2">
        <v>9.5000000000000001E-2</v>
      </c>
      <c r="J7" s="2">
        <v>9.5000000000000001E-2</v>
      </c>
      <c r="K7" s="2">
        <v>5.5E-2</v>
      </c>
      <c r="L7" s="2">
        <v>5.7000000000000002E-2</v>
      </c>
      <c r="M7" s="2">
        <v>5.6000000000000001E-2</v>
      </c>
    </row>
    <row r="8" spans="1:14" x14ac:dyDescent="0.25">
      <c r="A8" s="5" t="s">
        <v>18</v>
      </c>
      <c r="B8" s="2">
        <v>1.6160000000000001</v>
      </c>
      <c r="C8" s="2">
        <v>1.613</v>
      </c>
      <c r="D8" s="2">
        <v>1.653</v>
      </c>
      <c r="E8" s="8">
        <v>2.7309999999999999</v>
      </c>
      <c r="F8" s="8">
        <v>2.484</v>
      </c>
      <c r="G8" s="8">
        <v>2.0840000000000001</v>
      </c>
      <c r="H8" s="8">
        <v>2.1739999999999999</v>
      </c>
      <c r="I8" s="8">
        <v>2.262</v>
      </c>
      <c r="J8" s="8">
        <v>2.161</v>
      </c>
      <c r="K8" s="2">
        <v>6.4000000000000001E-2</v>
      </c>
      <c r="L8" s="2">
        <v>6.3E-2</v>
      </c>
      <c r="M8" s="2">
        <v>5.8999999999999997E-2</v>
      </c>
    </row>
    <row r="9" spans="1:14" x14ac:dyDescent="0.25">
      <c r="A9" s="5" t="s">
        <v>19</v>
      </c>
      <c r="B9" s="2">
        <v>1.758</v>
      </c>
      <c r="C9" s="2">
        <v>1.7250000000000001</v>
      </c>
      <c r="D9" s="2">
        <v>1.7050000000000001</v>
      </c>
      <c r="E9" s="2">
        <v>0.221</v>
      </c>
      <c r="F9" s="2">
        <v>0.191</v>
      </c>
      <c r="G9" s="2">
        <v>0.23899999999999999</v>
      </c>
      <c r="H9" s="8">
        <v>2.2480000000000002</v>
      </c>
      <c r="I9" s="8">
        <v>2.706</v>
      </c>
      <c r="J9" s="8">
        <v>2.694</v>
      </c>
      <c r="K9" s="2">
        <v>0.152</v>
      </c>
      <c r="L9" s="2">
        <v>0.15</v>
      </c>
      <c r="M9" s="2">
        <v>0.129</v>
      </c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107</v>
      </c>
      <c r="F12" s="7" t="s">
        <v>107</v>
      </c>
      <c r="G12" s="7" t="s">
        <v>107</v>
      </c>
      <c r="H12" s="7" t="s">
        <v>114</v>
      </c>
      <c r="I12" s="7" t="s">
        <v>114</v>
      </c>
      <c r="J12" s="7" t="s">
        <v>114</v>
      </c>
      <c r="K12" s="7" t="s">
        <v>116</v>
      </c>
      <c r="L12" s="7" t="s">
        <v>116</v>
      </c>
      <c r="M12" s="7" t="s">
        <v>116</v>
      </c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106</v>
      </c>
      <c r="F13" s="7" t="s">
        <v>106</v>
      </c>
      <c r="G13" s="7" t="s">
        <v>106</v>
      </c>
      <c r="H13" s="7" t="s">
        <v>117</v>
      </c>
      <c r="I13" s="7" t="s">
        <v>117</v>
      </c>
      <c r="J13" s="7" t="s">
        <v>117</v>
      </c>
      <c r="K13" s="7" t="s">
        <v>123</v>
      </c>
      <c r="L13" s="7" t="s">
        <v>123</v>
      </c>
      <c r="M13" s="7" t="s">
        <v>123</v>
      </c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109</v>
      </c>
      <c r="F14" s="7" t="s">
        <v>109</v>
      </c>
      <c r="G14" s="7" t="s">
        <v>109</v>
      </c>
      <c r="H14" s="7" t="s">
        <v>118</v>
      </c>
      <c r="I14" s="7" t="s">
        <v>118</v>
      </c>
      <c r="J14" s="7" t="s">
        <v>118</v>
      </c>
      <c r="K14" s="7" t="s">
        <v>124</v>
      </c>
      <c r="L14" s="7" t="s">
        <v>124</v>
      </c>
      <c r="M14" s="7" t="s">
        <v>124</v>
      </c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110</v>
      </c>
      <c r="F15" s="7" t="s">
        <v>110</v>
      </c>
      <c r="G15" s="7" t="s">
        <v>110</v>
      </c>
      <c r="H15" s="7" t="s">
        <v>115</v>
      </c>
      <c r="I15" s="7" t="s">
        <v>115</v>
      </c>
      <c r="J15" s="7" t="s">
        <v>115</v>
      </c>
      <c r="K15" s="7" t="s">
        <v>125</v>
      </c>
      <c r="L15" s="7" t="s">
        <v>125</v>
      </c>
      <c r="M15" s="7" t="s">
        <v>125</v>
      </c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111</v>
      </c>
      <c r="F16" s="7" t="s">
        <v>111</v>
      </c>
      <c r="G16" s="7" t="s">
        <v>111</v>
      </c>
      <c r="H16" s="7" t="s">
        <v>119</v>
      </c>
      <c r="I16" s="7" t="s">
        <v>119</v>
      </c>
      <c r="J16" s="7" t="s">
        <v>119</v>
      </c>
      <c r="K16" s="7" t="s">
        <v>126</v>
      </c>
      <c r="L16" s="7" t="s">
        <v>126</v>
      </c>
      <c r="M16" s="7" t="s">
        <v>126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112</v>
      </c>
      <c r="F17" s="7" t="s">
        <v>112</v>
      </c>
      <c r="G17" s="7" t="s">
        <v>112</v>
      </c>
      <c r="H17" s="7" t="s">
        <v>120</v>
      </c>
      <c r="I17" s="7" t="s">
        <v>120</v>
      </c>
      <c r="J17" s="7" t="s">
        <v>120</v>
      </c>
      <c r="K17" s="7" t="s">
        <v>127</v>
      </c>
      <c r="L17" s="7" t="s">
        <v>127</v>
      </c>
      <c r="M17" s="7" t="s">
        <v>127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108</v>
      </c>
      <c r="F18" s="7" t="s">
        <v>108</v>
      </c>
      <c r="G18" s="7" t="s">
        <v>108</v>
      </c>
      <c r="H18" s="7" t="s">
        <v>121</v>
      </c>
      <c r="I18" s="7" t="s">
        <v>121</v>
      </c>
      <c r="J18" s="7" t="s">
        <v>121</v>
      </c>
      <c r="K18" s="7" t="s">
        <v>128</v>
      </c>
      <c r="L18" s="7" t="s">
        <v>128</v>
      </c>
      <c r="M18" s="7" t="s">
        <v>128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113</v>
      </c>
      <c r="F19" s="7" t="s">
        <v>113</v>
      </c>
      <c r="G19" s="7" t="s">
        <v>113</v>
      </c>
      <c r="H19" s="7" t="s">
        <v>122</v>
      </c>
      <c r="I19" s="7" t="s">
        <v>122</v>
      </c>
      <c r="J19" s="7" t="s">
        <v>122</v>
      </c>
      <c r="K19" s="7" t="s">
        <v>129</v>
      </c>
      <c r="L19" s="7" t="s">
        <v>129</v>
      </c>
      <c r="M19" s="7" t="s">
        <v>129</v>
      </c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03D9-B8AC-4D1D-BDDB-1783FF67E978}">
  <dimension ref="A1:N29"/>
  <sheetViews>
    <sheetView workbookViewId="0">
      <selection activeCell="N1" sqref="N1"/>
    </sheetView>
  </sheetViews>
  <sheetFormatPr defaultRowHeight="15" x14ac:dyDescent="0.25"/>
  <sheetData>
    <row r="1" spans="1:14" x14ac:dyDescent="0.25">
      <c r="A1" s="4" t="s">
        <v>32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t="s">
        <v>9</v>
      </c>
    </row>
    <row r="2" spans="1:14" x14ac:dyDescent="0.25">
      <c r="A2" s="5" t="s">
        <v>12</v>
      </c>
      <c r="B2" s="2">
        <v>5.2999999999999999E-2</v>
      </c>
      <c r="C2" s="2">
        <v>5.1999999999999998E-2</v>
      </c>
      <c r="D2" s="2">
        <v>5.1999999999999998E-2</v>
      </c>
      <c r="E2" s="2">
        <v>6.0999999999999999E-2</v>
      </c>
      <c r="F2" s="2">
        <v>5.8999999999999997E-2</v>
      </c>
      <c r="G2" s="2">
        <v>6.2E-2</v>
      </c>
      <c r="H2" s="2">
        <v>0.251</v>
      </c>
      <c r="I2" s="2">
        <v>0.28899999999999998</v>
      </c>
      <c r="J2" s="2">
        <v>0.29699999999999999</v>
      </c>
      <c r="K2" s="2">
        <v>6.5000000000000002E-2</v>
      </c>
      <c r="L2" s="2">
        <v>6.2E-2</v>
      </c>
      <c r="M2" s="2">
        <v>6.3E-2</v>
      </c>
    </row>
    <row r="3" spans="1:14" x14ac:dyDescent="0.25">
      <c r="A3" s="5" t="s">
        <v>13</v>
      </c>
      <c r="B3" s="2">
        <v>0.19800000000000001</v>
      </c>
      <c r="C3" s="2">
        <v>0.157</v>
      </c>
      <c r="D3" s="2">
        <v>0.13700000000000001</v>
      </c>
      <c r="E3" s="2">
        <v>7.3999999999999996E-2</v>
      </c>
      <c r="F3" s="2">
        <v>7.4999999999999997E-2</v>
      </c>
      <c r="G3" s="2">
        <v>7.6999999999999999E-2</v>
      </c>
      <c r="H3" s="2">
        <v>6.0999999999999999E-2</v>
      </c>
      <c r="I3" s="2">
        <v>6.0999999999999999E-2</v>
      </c>
      <c r="J3" s="2">
        <v>0.06</v>
      </c>
      <c r="K3" s="2">
        <v>6.5000000000000002E-2</v>
      </c>
      <c r="L3" s="2">
        <v>6.2E-2</v>
      </c>
      <c r="M3" s="2">
        <v>6.3E-2</v>
      </c>
    </row>
    <row r="4" spans="1:14" x14ac:dyDescent="0.25">
      <c r="A4" s="5" t="s">
        <v>14</v>
      </c>
      <c r="B4" s="2">
        <v>0.45500000000000002</v>
      </c>
      <c r="C4" s="2">
        <v>0.34</v>
      </c>
      <c r="D4" s="2">
        <v>0.39600000000000002</v>
      </c>
      <c r="E4" s="2">
        <v>0.33700000000000002</v>
      </c>
      <c r="F4" s="2">
        <v>0.30199999999999999</v>
      </c>
      <c r="G4" s="2">
        <v>0.248</v>
      </c>
      <c r="H4" s="2">
        <v>0.33</v>
      </c>
      <c r="I4" s="2">
        <v>0.27200000000000002</v>
      </c>
      <c r="J4" s="2">
        <v>0.29699999999999999</v>
      </c>
      <c r="K4" s="2">
        <v>7.1999999999999995E-2</v>
      </c>
      <c r="L4" s="2">
        <v>7.0999999999999994E-2</v>
      </c>
      <c r="M4" s="2">
        <v>6.6000000000000003E-2</v>
      </c>
    </row>
    <row r="5" spans="1:14" x14ac:dyDescent="0.25">
      <c r="A5" s="5" t="s">
        <v>15</v>
      </c>
      <c r="B5" s="2">
        <v>0.60099999999999998</v>
      </c>
      <c r="C5" s="2">
        <v>0.626</v>
      </c>
      <c r="D5" s="2">
        <v>0.69399999999999995</v>
      </c>
      <c r="E5" s="2">
        <v>0.219</v>
      </c>
      <c r="F5" s="2">
        <v>0.26100000000000001</v>
      </c>
      <c r="G5" s="2">
        <v>0.27</v>
      </c>
      <c r="H5" s="2">
        <v>5.8000000000000003E-2</v>
      </c>
      <c r="I5" s="2">
        <v>5.7000000000000002E-2</v>
      </c>
      <c r="J5" s="2">
        <v>5.7000000000000002E-2</v>
      </c>
      <c r="K5" s="2">
        <v>7.1999999999999995E-2</v>
      </c>
      <c r="L5" s="2">
        <v>6.9000000000000006E-2</v>
      </c>
      <c r="M5" s="2">
        <v>6.9000000000000006E-2</v>
      </c>
    </row>
    <row r="6" spans="1:14" x14ac:dyDescent="0.25">
      <c r="A6" s="5" t="s">
        <v>16</v>
      </c>
      <c r="B6" s="2">
        <v>1.2729999999999999</v>
      </c>
      <c r="C6" s="2">
        <v>0.81699999999999995</v>
      </c>
      <c r="D6" s="2">
        <v>1.206</v>
      </c>
      <c r="E6" s="2">
        <v>7.4999999999999997E-2</v>
      </c>
      <c r="F6" s="2">
        <v>7.1999999999999995E-2</v>
      </c>
      <c r="G6" s="2">
        <v>8.2000000000000003E-2</v>
      </c>
      <c r="H6" s="2">
        <v>6.0999999999999999E-2</v>
      </c>
      <c r="I6" s="2">
        <v>6.3E-2</v>
      </c>
      <c r="J6" s="2">
        <v>6.4000000000000001E-2</v>
      </c>
      <c r="K6" s="2">
        <v>6.4000000000000001E-2</v>
      </c>
      <c r="L6" s="2">
        <v>6.5000000000000002E-2</v>
      </c>
      <c r="M6" s="2">
        <v>6.4000000000000001E-2</v>
      </c>
    </row>
    <row r="7" spans="1:14" x14ac:dyDescent="0.25">
      <c r="A7" s="5" t="s">
        <v>17</v>
      </c>
      <c r="B7" s="2">
        <v>1.8080000000000001</v>
      </c>
      <c r="C7" s="2">
        <v>1.4970000000000001</v>
      </c>
      <c r="D7" s="2">
        <v>1.7010000000000001</v>
      </c>
      <c r="E7" s="2">
        <v>5.8000000000000003E-2</v>
      </c>
      <c r="F7" s="2">
        <v>5.7000000000000002E-2</v>
      </c>
      <c r="G7" s="2">
        <v>5.8000000000000003E-2</v>
      </c>
      <c r="H7" s="2">
        <v>6.2E-2</v>
      </c>
      <c r="I7" s="2">
        <v>6.2E-2</v>
      </c>
      <c r="J7" s="2">
        <v>6.2E-2</v>
      </c>
      <c r="K7" s="2">
        <v>7.8E-2</v>
      </c>
      <c r="L7" s="2">
        <v>7.8E-2</v>
      </c>
      <c r="M7" s="2">
        <v>7.4999999999999997E-2</v>
      </c>
    </row>
    <row r="8" spans="1:14" x14ac:dyDescent="0.25">
      <c r="A8" s="5" t="s">
        <v>18</v>
      </c>
      <c r="B8" s="2">
        <v>1.5249999999999999</v>
      </c>
      <c r="C8" s="2">
        <v>1.57</v>
      </c>
      <c r="D8" s="2">
        <v>1.5569999999999999</v>
      </c>
      <c r="E8" s="2">
        <v>0.17199999999999999</v>
      </c>
      <c r="F8" s="2">
        <v>0.187</v>
      </c>
      <c r="G8" s="2">
        <v>0.188</v>
      </c>
      <c r="H8" s="2">
        <v>7.2999999999999995E-2</v>
      </c>
      <c r="I8" s="2">
        <v>7.1999999999999995E-2</v>
      </c>
      <c r="J8" s="2">
        <v>7.5999999999999998E-2</v>
      </c>
      <c r="K8" s="2">
        <v>5.2999999999999999E-2</v>
      </c>
      <c r="L8" s="2">
        <v>5.3999999999999999E-2</v>
      </c>
      <c r="M8" s="2">
        <v>5.0999999999999997E-2</v>
      </c>
    </row>
    <row r="9" spans="1:14" x14ac:dyDescent="0.25">
      <c r="A9" s="5" t="s">
        <v>19</v>
      </c>
      <c r="B9" s="2">
        <v>1.575</v>
      </c>
      <c r="C9" s="2">
        <v>1.4770000000000001</v>
      </c>
      <c r="D9" s="2">
        <v>1.627</v>
      </c>
      <c r="E9" s="2">
        <v>1.2649999999999999</v>
      </c>
      <c r="F9" s="2">
        <v>1.268</v>
      </c>
      <c r="G9" s="2">
        <v>1.298</v>
      </c>
      <c r="H9" s="2">
        <v>0.47199999999999998</v>
      </c>
      <c r="I9" s="2">
        <v>0.60899999999999999</v>
      </c>
      <c r="J9" s="2">
        <v>0.81200000000000006</v>
      </c>
      <c r="K9" s="2">
        <v>0.05</v>
      </c>
      <c r="L9" s="2">
        <v>6.2E-2</v>
      </c>
      <c r="M9" s="2">
        <v>5.3999999999999999E-2</v>
      </c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130</v>
      </c>
      <c r="F12" s="7" t="s">
        <v>130</v>
      </c>
      <c r="G12" s="7" t="s">
        <v>130</v>
      </c>
      <c r="H12" s="7" t="s">
        <v>137</v>
      </c>
      <c r="I12" s="7" t="s">
        <v>137</v>
      </c>
      <c r="J12" s="7" t="s">
        <v>137</v>
      </c>
      <c r="K12" s="7" t="s">
        <v>145</v>
      </c>
      <c r="L12" s="7" t="s">
        <v>145</v>
      </c>
      <c r="M12" s="7" t="s">
        <v>145</v>
      </c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131</v>
      </c>
      <c r="F13" s="7" t="s">
        <v>131</v>
      </c>
      <c r="G13" s="7" t="s">
        <v>131</v>
      </c>
      <c r="H13" s="7" t="s">
        <v>138</v>
      </c>
      <c r="I13" s="7" t="s">
        <v>138</v>
      </c>
      <c r="J13" s="7" t="s">
        <v>138</v>
      </c>
      <c r="K13" s="7" t="s">
        <v>146</v>
      </c>
      <c r="L13" s="7" t="s">
        <v>146</v>
      </c>
      <c r="M13" s="7" t="s">
        <v>146</v>
      </c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105</v>
      </c>
      <c r="F14" s="7" t="s">
        <v>105</v>
      </c>
      <c r="G14" s="7" t="s">
        <v>105</v>
      </c>
      <c r="H14" s="7" t="s">
        <v>139</v>
      </c>
      <c r="I14" s="7" t="s">
        <v>139</v>
      </c>
      <c r="J14" s="7" t="s">
        <v>139</v>
      </c>
      <c r="K14" s="7" t="s">
        <v>147</v>
      </c>
      <c r="L14" s="7" t="s">
        <v>147</v>
      </c>
      <c r="M14" s="7" t="s">
        <v>147</v>
      </c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132</v>
      </c>
      <c r="F15" s="7" t="s">
        <v>132</v>
      </c>
      <c r="G15" s="7" t="s">
        <v>132</v>
      </c>
      <c r="H15" s="7" t="s">
        <v>140</v>
      </c>
      <c r="I15" s="7" t="s">
        <v>140</v>
      </c>
      <c r="J15" s="7" t="s">
        <v>140</v>
      </c>
      <c r="K15" s="7" t="s">
        <v>148</v>
      </c>
      <c r="L15" s="7" t="s">
        <v>148</v>
      </c>
      <c r="M15" s="7" t="s">
        <v>148</v>
      </c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133</v>
      </c>
      <c r="F16" s="7" t="s">
        <v>133</v>
      </c>
      <c r="G16" s="7" t="s">
        <v>133</v>
      </c>
      <c r="H16" s="7" t="s">
        <v>141</v>
      </c>
      <c r="I16" s="7" t="s">
        <v>141</v>
      </c>
      <c r="J16" s="7" t="s">
        <v>141</v>
      </c>
      <c r="K16" s="7" t="s">
        <v>149</v>
      </c>
      <c r="L16" s="7" t="s">
        <v>149</v>
      </c>
      <c r="M16" s="7" t="s">
        <v>149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134</v>
      </c>
      <c r="F17" s="7" t="s">
        <v>134</v>
      </c>
      <c r="G17" s="7" t="s">
        <v>134</v>
      </c>
      <c r="H17" s="7" t="s">
        <v>142</v>
      </c>
      <c r="I17" s="7" t="s">
        <v>142</v>
      </c>
      <c r="J17" s="7" t="s">
        <v>142</v>
      </c>
      <c r="K17" s="7" t="s">
        <v>150</v>
      </c>
      <c r="L17" s="7" t="s">
        <v>150</v>
      </c>
      <c r="M17" s="7" t="s">
        <v>150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135</v>
      </c>
      <c r="F18" s="7" t="s">
        <v>135</v>
      </c>
      <c r="G18" s="7" t="s">
        <v>135</v>
      </c>
      <c r="H18" s="7" t="s">
        <v>143</v>
      </c>
      <c r="I18" s="7" t="s">
        <v>143</v>
      </c>
      <c r="J18" s="7" t="s">
        <v>143</v>
      </c>
      <c r="K18" s="7" t="s">
        <v>151</v>
      </c>
      <c r="L18" s="7" t="s">
        <v>151</v>
      </c>
      <c r="M18" s="7" t="s">
        <v>151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136</v>
      </c>
      <c r="F19" s="7" t="s">
        <v>136</v>
      </c>
      <c r="G19" s="7" t="s">
        <v>136</v>
      </c>
      <c r="H19" s="7" t="s">
        <v>144</v>
      </c>
      <c r="I19" s="7" t="s">
        <v>144</v>
      </c>
      <c r="J19" s="7" t="s">
        <v>144</v>
      </c>
      <c r="K19" s="7" t="s">
        <v>152</v>
      </c>
      <c r="L19" s="7" t="s">
        <v>152</v>
      </c>
      <c r="M19" s="7" t="s">
        <v>152</v>
      </c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B1D0-27C9-44CA-88D0-D985F5267C57}">
  <dimension ref="A1:N29"/>
  <sheetViews>
    <sheetView workbookViewId="0">
      <selection activeCell="N1" sqref="N1"/>
    </sheetView>
  </sheetViews>
  <sheetFormatPr defaultRowHeight="15" x14ac:dyDescent="0.25"/>
  <sheetData>
    <row r="1" spans="1:14" x14ac:dyDescent="0.25">
      <c r="A1" s="4" t="s">
        <v>153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t="s">
        <v>10</v>
      </c>
    </row>
    <row r="2" spans="1:14" x14ac:dyDescent="0.25">
      <c r="A2" s="5" t="s">
        <v>12</v>
      </c>
      <c r="B2" s="2">
        <v>6.2E-2</v>
      </c>
      <c r="C2" s="2">
        <v>5.7000000000000002E-2</v>
      </c>
      <c r="D2" s="2">
        <v>5.8999999999999997E-2</v>
      </c>
      <c r="E2" s="2">
        <v>5.6000000000000001E-2</v>
      </c>
      <c r="F2" s="2">
        <v>5.2999999999999999E-2</v>
      </c>
      <c r="G2" s="2">
        <v>5.5E-2</v>
      </c>
      <c r="H2" s="2">
        <v>7.0999999999999994E-2</v>
      </c>
      <c r="I2" s="2">
        <v>6.9000000000000006E-2</v>
      </c>
      <c r="J2" s="2">
        <v>6.7000000000000004E-2</v>
      </c>
      <c r="K2" s="2">
        <v>6.9000000000000006E-2</v>
      </c>
      <c r="L2" s="2">
        <v>6.7000000000000004E-2</v>
      </c>
      <c r="M2" s="2">
        <v>6.8000000000000005E-2</v>
      </c>
    </row>
    <row r="3" spans="1:14" x14ac:dyDescent="0.25">
      <c r="A3" s="5" t="s">
        <v>13</v>
      </c>
      <c r="B3" s="2">
        <v>0.14899999999999999</v>
      </c>
      <c r="C3" s="2">
        <v>0.153</v>
      </c>
      <c r="D3" s="2">
        <v>0.15</v>
      </c>
      <c r="E3" s="2">
        <v>5.8999999999999997E-2</v>
      </c>
      <c r="F3" s="2">
        <v>5.8999999999999997E-2</v>
      </c>
      <c r="G3" s="2">
        <v>6.0999999999999999E-2</v>
      </c>
      <c r="H3" s="2">
        <v>6.7000000000000004E-2</v>
      </c>
      <c r="I3" s="2">
        <v>6.7000000000000004E-2</v>
      </c>
      <c r="J3" s="2">
        <v>6.3E-2</v>
      </c>
      <c r="K3" s="2">
        <v>0.254</v>
      </c>
      <c r="L3" s="2">
        <v>0.23899999999999999</v>
      </c>
      <c r="M3" s="2">
        <v>0.20399999999999999</v>
      </c>
    </row>
    <row r="4" spans="1:14" x14ac:dyDescent="0.25">
      <c r="A4" s="5" t="s">
        <v>14</v>
      </c>
      <c r="B4" s="2">
        <v>0.30399999999999999</v>
      </c>
      <c r="C4" s="2">
        <v>0.29399999999999998</v>
      </c>
      <c r="D4" s="2">
        <v>0.33500000000000002</v>
      </c>
      <c r="E4" s="2">
        <v>6.2E-2</v>
      </c>
      <c r="F4" s="2">
        <v>6.3E-2</v>
      </c>
      <c r="G4" s="2">
        <v>6.2E-2</v>
      </c>
      <c r="H4" s="2">
        <v>5.8999999999999997E-2</v>
      </c>
      <c r="I4" s="2">
        <v>6.3E-2</v>
      </c>
      <c r="J4" s="2">
        <v>6.2E-2</v>
      </c>
      <c r="K4" s="2">
        <v>0.83199999999999996</v>
      </c>
      <c r="L4" s="2">
        <v>0.754</v>
      </c>
      <c r="M4" s="2">
        <v>0.76700000000000002</v>
      </c>
    </row>
    <row r="5" spans="1:14" x14ac:dyDescent="0.25">
      <c r="A5" s="5" t="s">
        <v>15</v>
      </c>
      <c r="B5" s="2">
        <v>0.60099999999999998</v>
      </c>
      <c r="C5" s="2">
        <v>0.73699999999999999</v>
      </c>
      <c r="D5" s="2">
        <v>0.66700000000000004</v>
      </c>
      <c r="E5" s="2">
        <v>6.2E-2</v>
      </c>
      <c r="F5" s="2">
        <v>6.4000000000000001E-2</v>
      </c>
      <c r="G5" s="2">
        <v>6.3E-2</v>
      </c>
      <c r="H5" s="2">
        <v>7.5999999999999998E-2</v>
      </c>
      <c r="I5" s="2">
        <v>7.5999999999999998E-2</v>
      </c>
      <c r="J5" s="2">
        <v>7.8E-2</v>
      </c>
      <c r="K5" s="2">
        <v>0.71399999999999997</v>
      </c>
      <c r="L5" s="2">
        <v>0.57099999999999995</v>
      </c>
      <c r="M5" s="2">
        <v>0.53200000000000003</v>
      </c>
    </row>
    <row r="6" spans="1:14" x14ac:dyDescent="0.25">
      <c r="A6" s="5" t="s">
        <v>16</v>
      </c>
      <c r="B6" s="2">
        <v>1.079</v>
      </c>
      <c r="C6" s="2">
        <v>1.0980000000000001</v>
      </c>
      <c r="D6" s="2">
        <v>1.0309999999999999</v>
      </c>
      <c r="E6" s="2">
        <v>6.0999999999999999E-2</v>
      </c>
      <c r="F6" s="2">
        <v>5.8999999999999997E-2</v>
      </c>
      <c r="G6" s="2">
        <v>6.2E-2</v>
      </c>
      <c r="H6" s="2">
        <v>6.3E-2</v>
      </c>
      <c r="I6" s="2">
        <v>6.6000000000000003E-2</v>
      </c>
      <c r="J6" s="2">
        <v>6.4000000000000001E-2</v>
      </c>
      <c r="K6" s="2">
        <v>1.2549999999999999</v>
      </c>
      <c r="L6" s="2">
        <v>0.88600000000000001</v>
      </c>
      <c r="M6" s="2">
        <v>0.91400000000000003</v>
      </c>
    </row>
    <row r="7" spans="1:14" x14ac:dyDescent="0.25">
      <c r="A7" s="5" t="s">
        <v>17</v>
      </c>
      <c r="B7" s="2">
        <v>1.6579999999999999</v>
      </c>
      <c r="C7" s="2">
        <v>1.5860000000000001</v>
      </c>
      <c r="D7" s="2">
        <v>1.6459999999999999</v>
      </c>
      <c r="E7" s="2">
        <v>8.3000000000000004E-2</v>
      </c>
      <c r="F7" s="2">
        <v>8.3000000000000004E-2</v>
      </c>
      <c r="G7" s="2">
        <v>8.3000000000000004E-2</v>
      </c>
      <c r="H7" s="2">
        <v>6.0999999999999999E-2</v>
      </c>
      <c r="I7" s="2">
        <v>6.6000000000000003E-2</v>
      </c>
      <c r="J7" s="2">
        <v>6.3E-2</v>
      </c>
      <c r="K7" s="2">
        <v>0.753</v>
      </c>
      <c r="L7" s="2">
        <v>0.70199999999999996</v>
      </c>
      <c r="M7" s="2">
        <v>0.63400000000000001</v>
      </c>
    </row>
    <row r="8" spans="1:14" x14ac:dyDescent="0.25">
      <c r="A8" s="5" t="s">
        <v>18</v>
      </c>
      <c r="B8" s="2">
        <v>1.7050000000000001</v>
      </c>
      <c r="C8" s="2">
        <v>1.482</v>
      </c>
      <c r="D8" s="2">
        <v>1.66</v>
      </c>
      <c r="E8" s="2">
        <v>6.0999999999999999E-2</v>
      </c>
      <c r="F8" s="2">
        <v>6.0999999999999999E-2</v>
      </c>
      <c r="G8" s="2">
        <v>0.06</v>
      </c>
      <c r="H8" s="2">
        <v>7.1999999999999995E-2</v>
      </c>
      <c r="I8" s="2">
        <v>7.3999999999999996E-2</v>
      </c>
      <c r="J8" s="2">
        <v>7.1999999999999995E-2</v>
      </c>
      <c r="K8" s="2">
        <v>0.26600000000000001</v>
      </c>
      <c r="L8" s="2">
        <v>0.24399999999999999</v>
      </c>
      <c r="M8" s="2">
        <v>0.221</v>
      </c>
    </row>
    <row r="9" spans="1:14" x14ac:dyDescent="0.25">
      <c r="A9" s="5" t="s">
        <v>19</v>
      </c>
      <c r="B9" s="2">
        <v>1.7609999999999999</v>
      </c>
      <c r="C9" s="2">
        <v>1.5389999999999999</v>
      </c>
      <c r="D9" s="2">
        <v>1.6539999999999999</v>
      </c>
      <c r="E9" s="2">
        <v>7.5999999999999998E-2</v>
      </c>
      <c r="F9" s="2">
        <v>7.5999999999999998E-2</v>
      </c>
      <c r="G9" s="2">
        <v>7.1999999999999995E-2</v>
      </c>
      <c r="H9" s="2">
        <v>0.48799999999999999</v>
      </c>
      <c r="I9" s="2">
        <v>0.49</v>
      </c>
      <c r="J9" s="2">
        <v>0.59199999999999997</v>
      </c>
      <c r="K9" s="2">
        <v>1</v>
      </c>
      <c r="L9" s="2">
        <v>0.79700000000000004</v>
      </c>
      <c r="M9" s="2">
        <v>0.871</v>
      </c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154</v>
      </c>
      <c r="F12" s="7" t="s">
        <v>154</v>
      </c>
      <c r="G12" s="7" t="s">
        <v>154</v>
      </c>
      <c r="H12" s="7" t="s">
        <v>162</v>
      </c>
      <c r="I12" s="7" t="s">
        <v>162</v>
      </c>
      <c r="J12" s="7" t="s">
        <v>162</v>
      </c>
      <c r="K12" s="7" t="s">
        <v>170</v>
      </c>
      <c r="L12" s="7" t="s">
        <v>170</v>
      </c>
      <c r="M12" s="7" t="s">
        <v>170</v>
      </c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155</v>
      </c>
      <c r="F13" s="7" t="s">
        <v>155</v>
      </c>
      <c r="G13" s="7" t="s">
        <v>155</v>
      </c>
      <c r="H13" s="7" t="s">
        <v>163</v>
      </c>
      <c r="I13" s="7" t="s">
        <v>163</v>
      </c>
      <c r="J13" s="7" t="s">
        <v>163</v>
      </c>
      <c r="K13" s="7" t="s">
        <v>171</v>
      </c>
      <c r="L13" s="7" t="s">
        <v>171</v>
      </c>
      <c r="M13" s="7" t="s">
        <v>171</v>
      </c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156</v>
      </c>
      <c r="F14" s="7" t="s">
        <v>156</v>
      </c>
      <c r="G14" s="7" t="s">
        <v>156</v>
      </c>
      <c r="H14" s="7" t="s">
        <v>164</v>
      </c>
      <c r="I14" s="7" t="s">
        <v>164</v>
      </c>
      <c r="J14" s="7" t="s">
        <v>164</v>
      </c>
      <c r="K14" s="7" t="s">
        <v>172</v>
      </c>
      <c r="L14" s="7" t="s">
        <v>172</v>
      </c>
      <c r="M14" s="7" t="s">
        <v>172</v>
      </c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157</v>
      </c>
      <c r="F15" s="7" t="s">
        <v>157</v>
      </c>
      <c r="G15" s="7" t="s">
        <v>157</v>
      </c>
      <c r="H15" s="7" t="s">
        <v>165</v>
      </c>
      <c r="I15" s="7" t="s">
        <v>165</v>
      </c>
      <c r="J15" s="7" t="s">
        <v>165</v>
      </c>
      <c r="K15" s="7" t="s">
        <v>173</v>
      </c>
      <c r="L15" s="7" t="s">
        <v>173</v>
      </c>
      <c r="M15" s="7" t="s">
        <v>173</v>
      </c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158</v>
      </c>
      <c r="F16" s="7" t="s">
        <v>158</v>
      </c>
      <c r="G16" s="7" t="s">
        <v>158</v>
      </c>
      <c r="H16" s="7" t="s">
        <v>166</v>
      </c>
      <c r="I16" s="7" t="s">
        <v>166</v>
      </c>
      <c r="J16" s="7" t="s">
        <v>166</v>
      </c>
      <c r="K16" s="7" t="s">
        <v>174</v>
      </c>
      <c r="L16" s="7" t="s">
        <v>174</v>
      </c>
      <c r="M16" s="7" t="s">
        <v>174</v>
      </c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159</v>
      </c>
      <c r="F17" s="7" t="s">
        <v>159</v>
      </c>
      <c r="G17" s="7" t="s">
        <v>159</v>
      </c>
      <c r="H17" s="7" t="s">
        <v>167</v>
      </c>
      <c r="I17" s="7" t="s">
        <v>167</v>
      </c>
      <c r="J17" s="7" t="s">
        <v>167</v>
      </c>
      <c r="K17" s="7" t="s">
        <v>175</v>
      </c>
      <c r="L17" s="7" t="s">
        <v>175</v>
      </c>
      <c r="M17" s="7" t="s">
        <v>175</v>
      </c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160</v>
      </c>
      <c r="F18" s="7" t="s">
        <v>160</v>
      </c>
      <c r="G18" s="7" t="s">
        <v>160</v>
      </c>
      <c r="H18" s="7" t="s">
        <v>168</v>
      </c>
      <c r="I18" s="7" t="s">
        <v>168</v>
      </c>
      <c r="J18" s="7" t="s">
        <v>168</v>
      </c>
      <c r="K18" s="7" t="s">
        <v>176</v>
      </c>
      <c r="L18" s="7" t="s">
        <v>176</v>
      </c>
      <c r="M18" s="7" t="s">
        <v>176</v>
      </c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161</v>
      </c>
      <c r="F19" s="7" t="s">
        <v>161</v>
      </c>
      <c r="G19" s="7" t="s">
        <v>161</v>
      </c>
      <c r="H19" s="7" t="s">
        <v>169</v>
      </c>
      <c r="I19" s="7" t="s">
        <v>169</v>
      </c>
      <c r="J19" s="7" t="s">
        <v>169</v>
      </c>
      <c r="K19" s="7" t="s">
        <v>177</v>
      </c>
      <c r="L19" s="7" t="s">
        <v>177</v>
      </c>
      <c r="M19" s="7" t="s">
        <v>177</v>
      </c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25</v>
      </c>
      <c r="L23" s="2">
        <v>25</v>
      </c>
      <c r="M23" s="2">
        <v>25</v>
      </c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25</v>
      </c>
      <c r="L24" s="2">
        <v>25</v>
      </c>
      <c r="M24" s="2">
        <v>25</v>
      </c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25</v>
      </c>
      <c r="L25" s="2">
        <v>25</v>
      </c>
      <c r="M25" s="2">
        <v>25</v>
      </c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25</v>
      </c>
      <c r="L26" s="2">
        <v>25</v>
      </c>
      <c r="M26" s="2">
        <v>25</v>
      </c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25</v>
      </c>
      <c r="L27" s="2">
        <v>25</v>
      </c>
      <c r="M27" s="2">
        <v>25</v>
      </c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25</v>
      </c>
      <c r="L28" s="2">
        <v>25</v>
      </c>
      <c r="M28" s="2">
        <v>25</v>
      </c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25</v>
      </c>
      <c r="L29" s="2">
        <v>25</v>
      </c>
      <c r="M29" s="2">
        <v>25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CD24-68E0-4F84-82D5-CD6F695F78C4}">
  <dimension ref="A1:N29"/>
  <sheetViews>
    <sheetView tabSelected="1" workbookViewId="0">
      <selection activeCell="S7" sqref="S7"/>
    </sheetView>
  </sheetViews>
  <sheetFormatPr defaultRowHeight="15" x14ac:dyDescent="0.25"/>
  <sheetData>
    <row r="1" spans="1:14" x14ac:dyDescent="0.25">
      <c r="A1" s="4" t="s">
        <v>178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t="s">
        <v>11</v>
      </c>
    </row>
    <row r="2" spans="1:14" x14ac:dyDescent="0.25">
      <c r="A2" s="5" t="s">
        <v>12</v>
      </c>
      <c r="B2" s="2">
        <v>5.5E-2</v>
      </c>
      <c r="C2" s="2">
        <v>0.06</v>
      </c>
      <c r="D2" s="2">
        <v>5.7000000000000002E-2</v>
      </c>
      <c r="E2" s="2">
        <v>0.36499999999999999</v>
      </c>
      <c r="F2" s="2">
        <v>0.35</v>
      </c>
      <c r="G2" s="2">
        <v>0.23799999999999999</v>
      </c>
      <c r="H2" s="2">
        <v>5.8000000000000003E-2</v>
      </c>
      <c r="I2" s="2">
        <v>5.2999999999999999E-2</v>
      </c>
      <c r="J2" s="2">
        <v>5.8000000000000003E-2</v>
      </c>
      <c r="K2" s="2">
        <v>4.4999999999999998E-2</v>
      </c>
      <c r="L2" s="2">
        <v>4.4999999999999998E-2</v>
      </c>
      <c r="M2" s="2">
        <v>4.3999999999999997E-2</v>
      </c>
    </row>
    <row r="3" spans="1:14" x14ac:dyDescent="0.25">
      <c r="A3" s="5" t="s">
        <v>13</v>
      </c>
      <c r="B3" s="2">
        <v>0.14099999999999999</v>
      </c>
      <c r="C3" s="2">
        <v>0.126</v>
      </c>
      <c r="D3" s="2">
        <v>0.16600000000000001</v>
      </c>
      <c r="E3" s="2">
        <v>0.52500000000000002</v>
      </c>
      <c r="F3" s="2">
        <v>0.51300000000000001</v>
      </c>
      <c r="G3" s="2">
        <v>0.51400000000000001</v>
      </c>
      <c r="H3" s="2">
        <v>0.41099999999999998</v>
      </c>
      <c r="I3" s="2">
        <v>0.46</v>
      </c>
      <c r="J3" s="2">
        <v>0.60399999999999998</v>
      </c>
      <c r="K3" s="2">
        <v>4.4999999999999998E-2</v>
      </c>
      <c r="L3" s="2">
        <v>4.3999999999999997E-2</v>
      </c>
      <c r="M3" s="2">
        <v>4.3999999999999997E-2</v>
      </c>
    </row>
    <row r="4" spans="1:14" x14ac:dyDescent="0.25">
      <c r="A4" s="5" t="s">
        <v>14</v>
      </c>
      <c r="B4" s="2">
        <v>0.32700000000000001</v>
      </c>
      <c r="C4" s="2">
        <v>0.38400000000000001</v>
      </c>
      <c r="D4" s="2">
        <v>0.36699999999999999</v>
      </c>
      <c r="E4" s="2">
        <v>0.60199999999999998</v>
      </c>
      <c r="F4" s="2">
        <v>0.59399999999999997</v>
      </c>
      <c r="G4" s="2">
        <v>0.53900000000000003</v>
      </c>
      <c r="H4" s="2">
        <v>4.3999999999999997E-2</v>
      </c>
      <c r="I4" s="2">
        <v>4.3999999999999997E-2</v>
      </c>
      <c r="J4" s="2">
        <v>4.3999999999999997E-2</v>
      </c>
      <c r="K4" s="2">
        <v>4.3999999999999997E-2</v>
      </c>
      <c r="L4" s="2">
        <v>4.3999999999999997E-2</v>
      </c>
      <c r="M4" s="2">
        <v>4.4999999999999998E-2</v>
      </c>
    </row>
    <row r="5" spans="1:14" x14ac:dyDescent="0.25">
      <c r="A5" s="5" t="s">
        <v>15</v>
      </c>
      <c r="B5" s="2">
        <v>0.54300000000000004</v>
      </c>
      <c r="C5" s="2">
        <v>0.68799999999999994</v>
      </c>
      <c r="D5" s="2">
        <v>0.60799999999999998</v>
      </c>
      <c r="E5" s="2">
        <v>0.41499999999999998</v>
      </c>
      <c r="F5" s="2">
        <v>0.313</v>
      </c>
      <c r="G5" s="2">
        <v>0.31</v>
      </c>
      <c r="H5" s="2">
        <v>4.3999999999999997E-2</v>
      </c>
      <c r="I5" s="2">
        <v>4.3999999999999997E-2</v>
      </c>
      <c r="J5" s="2">
        <v>4.3999999999999997E-2</v>
      </c>
      <c r="K5" s="2">
        <v>4.3999999999999997E-2</v>
      </c>
      <c r="L5" s="2">
        <v>4.3999999999999997E-2</v>
      </c>
      <c r="M5" s="2">
        <v>4.3999999999999997E-2</v>
      </c>
    </row>
    <row r="6" spans="1:14" x14ac:dyDescent="0.25">
      <c r="A6" s="5" t="s">
        <v>16</v>
      </c>
      <c r="B6" s="2">
        <v>1.21</v>
      </c>
      <c r="C6" s="2">
        <v>0.98</v>
      </c>
      <c r="D6" s="2">
        <v>0.97199999999999998</v>
      </c>
      <c r="E6" s="2">
        <v>0.34100000000000003</v>
      </c>
      <c r="F6" s="2">
        <v>0.28299999999999997</v>
      </c>
      <c r="G6" s="2">
        <v>0.219</v>
      </c>
      <c r="H6" s="2">
        <v>4.3999999999999997E-2</v>
      </c>
      <c r="I6" s="2">
        <v>4.3999999999999997E-2</v>
      </c>
      <c r="J6" s="2">
        <v>4.3999999999999997E-2</v>
      </c>
      <c r="K6" s="2">
        <v>4.3999999999999997E-2</v>
      </c>
      <c r="L6" s="2">
        <v>4.3999999999999997E-2</v>
      </c>
      <c r="M6" s="2">
        <v>4.3999999999999997E-2</v>
      </c>
    </row>
    <row r="7" spans="1:14" x14ac:dyDescent="0.25">
      <c r="A7" s="5" t="s">
        <v>17</v>
      </c>
      <c r="B7" s="2">
        <v>1.385</v>
      </c>
      <c r="C7" s="2">
        <v>1.5149999999999999</v>
      </c>
      <c r="D7" s="2">
        <v>1.4179999999999999</v>
      </c>
      <c r="E7" s="2">
        <v>5.8999999999999997E-2</v>
      </c>
      <c r="F7" s="2">
        <v>5.5E-2</v>
      </c>
      <c r="G7" s="2">
        <v>5.6000000000000001E-2</v>
      </c>
      <c r="H7" s="2">
        <v>4.4999999999999998E-2</v>
      </c>
      <c r="I7" s="2">
        <v>4.3999999999999997E-2</v>
      </c>
      <c r="J7" s="2">
        <v>4.3999999999999997E-2</v>
      </c>
      <c r="K7" s="2">
        <v>4.3999999999999997E-2</v>
      </c>
      <c r="L7" s="2">
        <v>4.3999999999999997E-2</v>
      </c>
      <c r="M7" s="2">
        <v>4.3999999999999997E-2</v>
      </c>
    </row>
    <row r="8" spans="1:14" x14ac:dyDescent="0.25">
      <c r="A8" s="5" t="s">
        <v>18</v>
      </c>
      <c r="B8" s="2">
        <v>1.446</v>
      </c>
      <c r="C8" s="2">
        <v>1.5529999999999999</v>
      </c>
      <c r="D8" s="2">
        <v>0.39600000000000002</v>
      </c>
      <c r="E8" s="2">
        <v>5.6000000000000001E-2</v>
      </c>
      <c r="F8" s="2">
        <v>5.7000000000000002E-2</v>
      </c>
      <c r="G8" s="2">
        <v>5.3999999999999999E-2</v>
      </c>
      <c r="H8" s="2">
        <v>4.4999999999999998E-2</v>
      </c>
      <c r="I8" s="2">
        <v>4.3999999999999997E-2</v>
      </c>
      <c r="J8" s="2">
        <v>4.3999999999999997E-2</v>
      </c>
      <c r="K8" s="2">
        <v>4.4999999999999998E-2</v>
      </c>
      <c r="L8" s="2">
        <v>4.4999999999999998E-2</v>
      </c>
      <c r="M8" s="2">
        <v>4.3999999999999997E-2</v>
      </c>
    </row>
    <row r="9" spans="1:14" x14ac:dyDescent="0.25">
      <c r="A9" s="5" t="s">
        <v>19</v>
      </c>
      <c r="B9" s="2">
        <v>1.524</v>
      </c>
      <c r="C9" s="2">
        <v>1.5620000000000001</v>
      </c>
      <c r="D9" s="2">
        <v>0.09</v>
      </c>
      <c r="E9" s="2">
        <v>5.6000000000000001E-2</v>
      </c>
      <c r="F9" s="2">
        <v>5.6000000000000001E-2</v>
      </c>
      <c r="G9" s="2">
        <v>5.6000000000000001E-2</v>
      </c>
      <c r="H9" s="2">
        <v>4.4999999999999998E-2</v>
      </c>
      <c r="I9" s="2">
        <v>4.4999999999999998E-2</v>
      </c>
      <c r="J9" s="2">
        <v>4.7E-2</v>
      </c>
      <c r="K9" s="2">
        <v>4.4999999999999998E-2</v>
      </c>
      <c r="L9" s="2">
        <v>4.4999999999999998E-2</v>
      </c>
      <c r="M9" s="2">
        <v>4.3999999999999997E-2</v>
      </c>
    </row>
    <row r="11" spans="1:14" x14ac:dyDescent="0.25">
      <c r="A11" s="4" t="s">
        <v>20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>
        <v>7</v>
      </c>
      <c r="I11" s="5">
        <v>8</v>
      </c>
      <c r="J11" s="5">
        <v>9</v>
      </c>
      <c r="K11" s="5">
        <v>10</v>
      </c>
      <c r="L11" s="5">
        <v>11</v>
      </c>
      <c r="M11" s="5">
        <v>12</v>
      </c>
    </row>
    <row r="12" spans="1:14" x14ac:dyDescent="0.25">
      <c r="A12" s="5" t="s">
        <v>12</v>
      </c>
      <c r="B12" s="7" t="s">
        <v>21</v>
      </c>
      <c r="C12" s="7" t="s">
        <v>21</v>
      </c>
      <c r="D12" s="7" t="s">
        <v>21</v>
      </c>
      <c r="E12" s="7" t="s">
        <v>104</v>
      </c>
      <c r="F12" s="7" t="s">
        <v>104</v>
      </c>
      <c r="G12" s="7" t="s">
        <v>104</v>
      </c>
      <c r="H12" s="7" t="s">
        <v>182</v>
      </c>
      <c r="I12" s="7" t="s">
        <v>182</v>
      </c>
      <c r="J12" s="7" t="s">
        <v>182</v>
      </c>
      <c r="K12" s="7"/>
      <c r="L12" s="7"/>
      <c r="M12" s="7"/>
    </row>
    <row r="13" spans="1:14" x14ac:dyDescent="0.25">
      <c r="A13" s="5" t="s">
        <v>13</v>
      </c>
      <c r="B13" s="7" t="s">
        <v>22</v>
      </c>
      <c r="C13" s="7" t="s">
        <v>22</v>
      </c>
      <c r="D13" s="7" t="s">
        <v>22</v>
      </c>
      <c r="E13" s="7" t="s">
        <v>107</v>
      </c>
      <c r="F13" s="7" t="s">
        <v>107</v>
      </c>
      <c r="G13" s="7" t="s">
        <v>107</v>
      </c>
      <c r="H13" s="7" t="s">
        <v>183</v>
      </c>
      <c r="I13" s="7" t="s">
        <v>183</v>
      </c>
      <c r="J13" s="7" t="s">
        <v>183</v>
      </c>
      <c r="K13" s="7"/>
      <c r="L13" s="7"/>
      <c r="M13" s="7"/>
    </row>
    <row r="14" spans="1:14" x14ac:dyDescent="0.25">
      <c r="A14" s="5" t="s">
        <v>14</v>
      </c>
      <c r="B14" s="7" t="s">
        <v>23</v>
      </c>
      <c r="C14" s="7" t="s">
        <v>23</v>
      </c>
      <c r="D14" s="7" t="s">
        <v>23</v>
      </c>
      <c r="E14" s="7" t="s">
        <v>110</v>
      </c>
      <c r="F14" s="7" t="s">
        <v>110</v>
      </c>
      <c r="G14" s="7" t="s">
        <v>110</v>
      </c>
      <c r="H14" s="7"/>
      <c r="I14" s="7"/>
      <c r="J14" s="7"/>
      <c r="K14" s="7"/>
      <c r="L14" s="7"/>
      <c r="M14" s="7"/>
    </row>
    <row r="15" spans="1:14" x14ac:dyDescent="0.25">
      <c r="A15" s="5" t="s">
        <v>15</v>
      </c>
      <c r="B15" s="7" t="s">
        <v>24</v>
      </c>
      <c r="C15" s="7" t="s">
        <v>24</v>
      </c>
      <c r="D15" s="7" t="s">
        <v>24</v>
      </c>
      <c r="E15" s="7" t="s">
        <v>108</v>
      </c>
      <c r="F15" s="7" t="s">
        <v>108</v>
      </c>
      <c r="G15" s="7" t="s">
        <v>108</v>
      </c>
      <c r="H15" s="7"/>
      <c r="I15" s="7"/>
      <c r="J15" s="7"/>
      <c r="K15" s="7"/>
      <c r="L15" s="7"/>
      <c r="M15" s="7"/>
    </row>
    <row r="16" spans="1:14" x14ac:dyDescent="0.25">
      <c r="A16" s="5" t="s">
        <v>16</v>
      </c>
      <c r="B16" s="7" t="s">
        <v>25</v>
      </c>
      <c r="C16" s="7" t="s">
        <v>25</v>
      </c>
      <c r="D16" s="7" t="s">
        <v>25</v>
      </c>
      <c r="E16" s="7" t="s">
        <v>121</v>
      </c>
      <c r="F16" s="7" t="s">
        <v>121</v>
      </c>
      <c r="G16" s="7" t="s">
        <v>121</v>
      </c>
      <c r="H16" s="7"/>
      <c r="I16" s="7"/>
      <c r="J16" s="7"/>
      <c r="K16" s="7"/>
      <c r="L16" s="7"/>
      <c r="M16" s="7"/>
    </row>
    <row r="17" spans="1:13" x14ac:dyDescent="0.25">
      <c r="A17" s="5" t="s">
        <v>17</v>
      </c>
      <c r="B17" s="7" t="s">
        <v>26</v>
      </c>
      <c r="C17" s="7" t="s">
        <v>26</v>
      </c>
      <c r="D17" s="7" t="s">
        <v>26</v>
      </c>
      <c r="E17" s="7" t="s">
        <v>179</v>
      </c>
      <c r="F17" s="7" t="s">
        <v>179</v>
      </c>
      <c r="G17" s="7" t="s">
        <v>179</v>
      </c>
      <c r="H17" s="7"/>
      <c r="I17" s="7"/>
      <c r="J17" s="7"/>
      <c r="K17" s="7"/>
      <c r="L17" s="7"/>
      <c r="M17" s="7"/>
    </row>
    <row r="18" spans="1:13" x14ac:dyDescent="0.25">
      <c r="A18" s="5" t="s">
        <v>18</v>
      </c>
      <c r="B18" s="7" t="s">
        <v>27</v>
      </c>
      <c r="C18" s="7" t="s">
        <v>27</v>
      </c>
      <c r="D18" s="7" t="s">
        <v>27</v>
      </c>
      <c r="E18" s="7" t="s">
        <v>180</v>
      </c>
      <c r="F18" s="7" t="s">
        <v>180</v>
      </c>
      <c r="G18" s="7" t="s">
        <v>180</v>
      </c>
      <c r="H18" s="7"/>
      <c r="I18" s="7"/>
      <c r="J18" s="7"/>
      <c r="K18" s="7"/>
      <c r="L18" s="7"/>
      <c r="M18" s="7"/>
    </row>
    <row r="19" spans="1:13" x14ac:dyDescent="0.25">
      <c r="A19" s="5" t="s">
        <v>19</v>
      </c>
      <c r="B19" s="7" t="s">
        <v>28</v>
      </c>
      <c r="C19" s="7" t="s">
        <v>28</v>
      </c>
      <c r="D19" s="7" t="s">
        <v>28</v>
      </c>
      <c r="E19" s="7" t="s">
        <v>181</v>
      </c>
      <c r="F19" s="7" t="s">
        <v>181</v>
      </c>
      <c r="G19" s="7" t="s">
        <v>181</v>
      </c>
      <c r="H19" s="7"/>
      <c r="I19" s="7"/>
      <c r="J19" s="7"/>
      <c r="K19" s="7"/>
      <c r="L19" s="7"/>
      <c r="M19" s="7"/>
    </row>
    <row r="21" spans="1:13" ht="30" x14ac:dyDescent="0.25">
      <c r="A21" s="4" t="s">
        <v>29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25">
      <c r="A22" s="5" t="s">
        <v>12</v>
      </c>
      <c r="B22" s="2">
        <v>1</v>
      </c>
      <c r="C22" s="2">
        <v>1</v>
      </c>
      <c r="D22" s="2">
        <v>1</v>
      </c>
      <c r="E22" s="2">
        <v>25</v>
      </c>
      <c r="F22" s="2">
        <v>25</v>
      </c>
      <c r="G22" s="2">
        <v>25</v>
      </c>
      <c r="H22" s="2">
        <v>1</v>
      </c>
      <c r="I22" s="2">
        <v>1</v>
      </c>
      <c r="J22" s="2">
        <v>1</v>
      </c>
      <c r="K22" s="2"/>
      <c r="L22" s="2"/>
      <c r="M22" s="2"/>
    </row>
    <row r="23" spans="1:13" x14ac:dyDescent="0.25">
      <c r="A23" s="5" t="s">
        <v>13</v>
      </c>
      <c r="B23" s="2">
        <v>1</v>
      </c>
      <c r="C23" s="2">
        <v>1</v>
      </c>
      <c r="D23" s="2">
        <v>1</v>
      </c>
      <c r="E23" s="2">
        <v>25</v>
      </c>
      <c r="F23" s="2">
        <v>25</v>
      </c>
      <c r="G23" s="2">
        <v>25</v>
      </c>
      <c r="H23" s="2">
        <v>1</v>
      </c>
      <c r="I23" s="2">
        <v>1</v>
      </c>
      <c r="J23" s="2">
        <v>1</v>
      </c>
      <c r="K23" s="2"/>
      <c r="L23" s="2"/>
      <c r="M23" s="2"/>
    </row>
    <row r="24" spans="1:13" x14ac:dyDescent="0.25">
      <c r="A24" s="5" t="s">
        <v>14</v>
      </c>
      <c r="B24" s="2">
        <v>1</v>
      </c>
      <c r="C24" s="2">
        <v>1</v>
      </c>
      <c r="D24" s="2">
        <v>1</v>
      </c>
      <c r="E24" s="2">
        <v>25</v>
      </c>
      <c r="F24" s="2">
        <v>25</v>
      </c>
      <c r="G24" s="2">
        <v>25</v>
      </c>
      <c r="H24" s="2"/>
      <c r="I24" s="2"/>
      <c r="J24" s="2"/>
      <c r="K24" s="2"/>
      <c r="L24" s="2"/>
      <c r="M24" s="2"/>
    </row>
    <row r="25" spans="1:13" x14ac:dyDescent="0.25">
      <c r="A25" s="5" t="s">
        <v>15</v>
      </c>
      <c r="B25" s="2">
        <v>1</v>
      </c>
      <c r="C25" s="2">
        <v>1</v>
      </c>
      <c r="D25" s="2">
        <v>1</v>
      </c>
      <c r="E25" s="2">
        <v>25</v>
      </c>
      <c r="F25" s="2">
        <v>25</v>
      </c>
      <c r="G25" s="2">
        <v>25</v>
      </c>
      <c r="H25" s="2"/>
      <c r="I25" s="2"/>
      <c r="J25" s="2"/>
      <c r="K25" s="2"/>
      <c r="L25" s="2"/>
      <c r="M25" s="2"/>
    </row>
    <row r="26" spans="1:13" x14ac:dyDescent="0.25">
      <c r="A26" s="5" t="s">
        <v>16</v>
      </c>
      <c r="B26" s="2">
        <v>1</v>
      </c>
      <c r="C26" s="2">
        <v>1</v>
      </c>
      <c r="D26" s="2">
        <v>1</v>
      </c>
      <c r="E26" s="2">
        <v>25</v>
      </c>
      <c r="F26" s="2">
        <v>25</v>
      </c>
      <c r="G26" s="2">
        <v>25</v>
      </c>
      <c r="H26" s="2"/>
      <c r="I26" s="2"/>
      <c r="J26" s="2"/>
      <c r="K26" s="2"/>
      <c r="L26" s="2"/>
      <c r="M26" s="2"/>
    </row>
    <row r="27" spans="1:13" x14ac:dyDescent="0.25">
      <c r="A27" s="5" t="s">
        <v>17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/>
      <c r="I27" s="2"/>
      <c r="J27" s="2"/>
      <c r="K27" s="2"/>
      <c r="L27" s="2"/>
      <c r="M27" s="2"/>
    </row>
    <row r="28" spans="1:13" x14ac:dyDescent="0.25">
      <c r="A28" s="5" t="s">
        <v>18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/>
      <c r="I28" s="2"/>
      <c r="J28" s="2"/>
      <c r="K28" s="2"/>
      <c r="L28" s="2"/>
      <c r="M28" s="2"/>
    </row>
    <row r="29" spans="1:13" x14ac:dyDescent="0.25">
      <c r="A29" s="5" t="s">
        <v>19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/>
      <c r="I29" s="2"/>
      <c r="J29" s="2"/>
      <c r="K29" s="2"/>
      <c r="L29" s="2"/>
      <c r="M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Stds</vt:lpstr>
      <vt:lpstr>Plate 1</vt:lpstr>
      <vt:lpstr>Plate2</vt:lpstr>
      <vt:lpstr>Plate3</vt:lpstr>
      <vt:lpstr>Plate4</vt:lpstr>
      <vt:lpstr>Plate5</vt:lpstr>
      <vt:lpstr>Plate6</vt:lpstr>
      <vt:lpstr>Plate7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Read, Zoe</cp:lastModifiedBy>
  <dcterms:created xsi:type="dcterms:W3CDTF">2023-10-23T18:30:00Z</dcterms:created>
  <dcterms:modified xsi:type="dcterms:W3CDTF">2025-12-12T17:24:19Z</dcterms:modified>
</cp:coreProperties>
</file>