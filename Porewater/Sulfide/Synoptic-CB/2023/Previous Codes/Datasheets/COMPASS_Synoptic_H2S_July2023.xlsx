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0414273D-EA81-4663-8624-5BAD6203A894}" xr6:coauthVersionLast="47" xr6:coauthVersionMax="47" xr10:uidLastSave="{00000000-0000-0000-0000-000000000000}"/>
  <bookViews>
    <workbookView xWindow="-120" yWindow="-120" windowWidth="21840" windowHeight="13140" activeTab="7" xr2:uid="{A39DEB9D-C548-4367-B884-CA9080083BFD}"/>
  </bookViews>
  <sheets>
    <sheet name="Stds" sheetId="1" r:id="rId1"/>
    <sheet name="Plate1" sheetId="2" r:id="rId2"/>
    <sheet name="Plate2" sheetId="3" r:id="rId3"/>
    <sheet name="Plate3" sheetId="4" r:id="rId4"/>
    <sheet name="Plate4" sheetId="5" r:id="rId5"/>
    <sheet name="Plate5" sheetId="6" r:id="rId6"/>
    <sheet name="Plate6" sheetId="7" r:id="rId7"/>
    <sheet name="Plate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B73" i="1"/>
  <c r="B63" i="1"/>
  <c r="B62" i="1"/>
  <c r="B28" i="1"/>
  <c r="B19" i="1"/>
  <c r="B18" i="1"/>
  <c r="B7" i="1"/>
  <c r="B77" i="1"/>
  <c r="B76" i="1"/>
  <c r="B74" i="1"/>
  <c r="B72" i="1"/>
  <c r="B71" i="1"/>
  <c r="B70" i="1"/>
  <c r="B65" i="1"/>
  <c r="B64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8" i="1"/>
  <c r="B37" i="1"/>
  <c r="B36" i="1"/>
  <c r="B32" i="1"/>
  <c r="B31" i="1"/>
  <c r="B30" i="1"/>
  <c r="B29" i="1"/>
  <c r="B27" i="1"/>
  <c r="B26" i="1"/>
  <c r="B25" i="1"/>
  <c r="B21" i="1"/>
  <c r="B20" i="1"/>
  <c r="B17" i="1"/>
  <c r="B16" i="1"/>
  <c r="B15" i="1"/>
  <c r="B14" i="1"/>
  <c r="B10" i="1"/>
  <c r="B9" i="1"/>
  <c r="B8" i="1"/>
  <c r="B6" i="1"/>
  <c r="B5" i="1"/>
  <c r="B4" i="1"/>
  <c r="B3" i="1"/>
</calcChain>
</file>

<file path=xl/sharedStrings.xml><?xml version="1.0" encoding="utf-8"?>
<sst xmlns="http://schemas.openxmlformats.org/spreadsheetml/2006/main" count="738" uniqueCount="187">
  <si>
    <t>Conc</t>
  </si>
  <si>
    <t>Avg Abs</t>
  </si>
  <si>
    <t>Abs1</t>
  </si>
  <si>
    <t>Abs 2</t>
  </si>
  <si>
    <t>Abs3</t>
  </si>
  <si>
    <t>Plate 1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</si>
  <si>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</si>
  <si>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</si>
  <si>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</si>
  <si>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</si>
  <si>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</si>
  <si>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</si>
  <si>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</si>
  <si>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</si>
  <si>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</si>
  <si>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</si>
  <si>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</si>
  <si>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</si>
  <si>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</si>
  <si>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</si>
  <si>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</si>
  <si>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</si>
  <si>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</si>
  <si>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</si>
  <si>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</si>
  <si>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</si>
  <si>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</si>
  <si>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</si>
  <si>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</si>
  <si>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Dilutions</t>
  </si>
  <si>
    <t>SWH_UPCON_LysA_10cm</t>
  </si>
  <si>
    <t>SWH_UPCON_LysB_10cm</t>
  </si>
  <si>
    <t>SWH_UPCON_LysC_10cm</t>
  </si>
  <si>
    <t>SWH_UPCON_LysA_20cm</t>
  </si>
  <si>
    <t>SWH_UPCON_LysA_45cm</t>
  </si>
  <si>
    <t>SWH_UPCON_LysB_20cm</t>
  </si>
  <si>
    <t>SWH_UPCON_LysB_45cm</t>
  </si>
  <si>
    <t>SWH_UPCON_LysC_20cm</t>
  </si>
  <si>
    <t>SWH_UPCON_LysC_45cm</t>
  </si>
  <si>
    <t>SWH_UP_LysA_10cm</t>
  </si>
  <si>
    <t>SWH_UP_LysA_20cm</t>
  </si>
  <si>
    <t>SWH_UP_LysA_45cm</t>
  </si>
  <si>
    <t>SWH_UP_LysB_10cm</t>
  </si>
  <si>
    <t>SWH_UP_LysB_20cm</t>
  </si>
  <si>
    <t>SWH_UP_LysB_20cm_spk</t>
  </si>
  <si>
    <t>SWH_UP_LysB_10cm_dup</t>
  </si>
  <si>
    <t>SWH_UP_LysB_45cm</t>
  </si>
  <si>
    <t>SWH_UP_LysC_10cm</t>
  </si>
  <si>
    <t>SWH_UP_LysC_20cm</t>
  </si>
  <si>
    <t>SWH_UP_LysC_45cm</t>
  </si>
  <si>
    <t>SWH_TR_LysA_10cm</t>
  </si>
  <si>
    <t>SWH_TR_LysA_20cm</t>
  </si>
  <si>
    <t>SWH_TR_LysA_45cm_redo</t>
  </si>
  <si>
    <t>SWH_TR_LysB_10cm</t>
  </si>
  <si>
    <t>SWH_TR_LysB_20cm</t>
  </si>
  <si>
    <t>SWH_TR_LysB_45cm_redo</t>
  </si>
  <si>
    <t>SWH_TR_LysC_10cm</t>
  </si>
  <si>
    <t>SWH_TR_LysC_20cm</t>
  </si>
  <si>
    <t>SWH_TR_LysC_45cm</t>
  </si>
  <si>
    <t>SWH_WC_LysA_10cm</t>
  </si>
  <si>
    <t>SWH_WC_LysA_20cm</t>
  </si>
  <si>
    <t>SWH_WC_LysA_45cm</t>
  </si>
  <si>
    <t>SWH_WC_LysB_10cm</t>
  </si>
  <si>
    <t>SWH_WC_LysC_10cm</t>
  </si>
  <si>
    <t>SWH_WC_LysB_20cm</t>
  </si>
  <si>
    <t>SWH_WC_LysB45cm</t>
  </si>
  <si>
    <t>SWH_WC_LysC_20cm</t>
  </si>
  <si>
    <t>SWH_WC_LysC_20cm_dup</t>
  </si>
  <si>
    <t>SWH_WC_LysC_45cm</t>
  </si>
  <si>
    <t>SWH_WC_LysC_45cm_spk</t>
  </si>
  <si>
    <t>SWH_SW_A</t>
  </si>
  <si>
    <t>SWH_SW_B</t>
  </si>
  <si>
    <t>SWH_SW_C</t>
  </si>
  <si>
    <t>GWI_UP_LysA_10cm</t>
  </si>
  <si>
    <t>GWI_UP_LysA_20cm</t>
  </si>
  <si>
    <t>GWI_UP_LysA_45cm</t>
  </si>
  <si>
    <t>GWI_UP_LysB_10cm</t>
  </si>
  <si>
    <t>GWI_UP_LysB_20cm</t>
  </si>
  <si>
    <t>GWI_UP_LysC_10cm</t>
  </si>
  <si>
    <t>GWI_UP_LysC_20cm</t>
  </si>
  <si>
    <t>GWI_UP_LysC_45cm</t>
  </si>
  <si>
    <t>GWI_TR_LysA_10cm</t>
  </si>
  <si>
    <t>GWI_TR_LysA_20cm</t>
  </si>
  <si>
    <t>GWI_TR_LysA_45cm</t>
  </si>
  <si>
    <t>GWI_TR_LysB_10cm</t>
  </si>
  <si>
    <t>GWI_TR_LysB_20cm_redo</t>
  </si>
  <si>
    <t>GWI_TR_LysB_45cm</t>
  </si>
  <si>
    <t>GWI_TR_LysC_10cm</t>
  </si>
  <si>
    <t>GWI_TR_LysC_20cm</t>
  </si>
  <si>
    <t>GWI_TR_LysC_45cm</t>
  </si>
  <si>
    <t>GWI_WC_LysA_10cm</t>
  </si>
  <si>
    <t>GWI_WC_LysA_10cm_dup</t>
  </si>
  <si>
    <t>GWI_WC_LysA_20cm</t>
  </si>
  <si>
    <t>GWI_WC_LysA_20cm_spk</t>
  </si>
  <si>
    <t>GWI_WC_LysA_45cm</t>
  </si>
  <si>
    <t>GWI_WC_LysB_10cm</t>
  </si>
  <si>
    <t>GWI_WC_LysC_20cm</t>
  </si>
  <si>
    <t>GWI_WC_LysB_20cm</t>
  </si>
  <si>
    <t>GWI_WC_LysB_45cm</t>
  </si>
  <si>
    <t>GWI_WC_LysC_10cm</t>
  </si>
  <si>
    <t>GWI_SW_A</t>
  </si>
  <si>
    <t>GWI_SW_B</t>
  </si>
  <si>
    <t>MSM_UP_LysA_45cm</t>
  </si>
  <si>
    <t>MSM_UP_LysB_10cm</t>
  </si>
  <si>
    <t>MSM_UP_LysB_45cm</t>
  </si>
  <si>
    <t>MSM_UP_LysC_10cm</t>
  </si>
  <si>
    <t>MSM_UP_LysC_20cm</t>
  </si>
  <si>
    <t>MSM_UP_LysC_45cm</t>
  </si>
  <si>
    <t>MSM_TR_LysA_10cm</t>
  </si>
  <si>
    <t>MSM_TR_LysA_20cm</t>
  </si>
  <si>
    <t>MSM_TR_LysB_20cm</t>
  </si>
  <si>
    <t>MSM_TR_LysC_20cm</t>
  </si>
  <si>
    <t>MSM_TR_LysA_45cm</t>
  </si>
  <si>
    <t>MSM_TR_LysB_10cm</t>
  </si>
  <si>
    <t>MSM_TR_LysB_45cm</t>
  </si>
  <si>
    <t>MSM_TR_LysB_45cm_dup</t>
  </si>
  <si>
    <t>MSM_TR_LysC_10cm</t>
  </si>
  <si>
    <t>MSM_TR_LysC_10cm_spk</t>
  </si>
  <si>
    <t>MSM_TR_LysC_45cm</t>
  </si>
  <si>
    <t>MSM_WC_LysA_45cm</t>
  </si>
  <si>
    <t>MSM_WC_LysB_10cm</t>
  </si>
  <si>
    <t>MSM_WC_LysB_20cm</t>
  </si>
  <si>
    <t>MSM_WC_LysB_45cm</t>
  </si>
  <si>
    <t>MSM_WC_LysA_10cm_redo</t>
  </si>
  <si>
    <t>MSM_WC_LysA_20cm_redo</t>
  </si>
  <si>
    <t>MSM_WC_LysB_10cm_redo</t>
  </si>
  <si>
    <t>MSM_WC_LysB_20cm_redi</t>
  </si>
  <si>
    <t>MSM_WC_LysC_10cm_redo</t>
  </si>
  <si>
    <t>MSM_WC_LysC_20cm_redo</t>
  </si>
  <si>
    <t>MSM_WC_LysC_45cm</t>
  </si>
  <si>
    <t>MSM_SW_A</t>
  </si>
  <si>
    <t>MSM_SW_B</t>
  </si>
  <si>
    <t>MSM_SW_C</t>
  </si>
  <si>
    <t>GCW_UP_LysA_20cm</t>
  </si>
  <si>
    <t>GCW_UP_LysB_10cm</t>
  </si>
  <si>
    <t>GCW_UP_LysB_20cm</t>
  </si>
  <si>
    <t>GCW_UP_LysC_20cm</t>
  </si>
  <si>
    <t>GCW_TR_LysA_20cm</t>
  </si>
  <si>
    <t>GCW_TR_LysA_45cm</t>
  </si>
  <si>
    <t>GCW_TR_LysB_10cm</t>
  </si>
  <si>
    <t>GCW_TR_LysB_10cm_dup</t>
  </si>
  <si>
    <t>GCW_TR_LysB_45cm</t>
  </si>
  <si>
    <t>GCW_TR_LysB_45cm_spk</t>
  </si>
  <si>
    <t>GCW_TR_LysC_10cm</t>
  </si>
  <si>
    <t>GCW_TR_LysC_20cm</t>
  </si>
  <si>
    <t>GCW_TR_LysC_45cm</t>
  </si>
  <si>
    <t>GCW_WC_LysA_10cm</t>
  </si>
  <si>
    <t>GCW_WC_LysB_10cm</t>
  </si>
  <si>
    <t>GCW_WC_LysA_20cm</t>
  </si>
  <si>
    <t>GCW_WC_LysA_45cm</t>
  </si>
  <si>
    <t>GCW_WC_LysB_20cm</t>
  </si>
  <si>
    <t>MSM_WC_LysC_10cm</t>
  </si>
  <si>
    <t>MSM_WC_LysC_20cm</t>
  </si>
  <si>
    <t>GCW_WC_LysB_45cm</t>
  </si>
  <si>
    <t>GCW_WC_LysC_10cm</t>
  </si>
  <si>
    <t>GCW_WC_LysC_20cm</t>
  </si>
  <si>
    <t>GCW_WC_LysC_45cm</t>
  </si>
  <si>
    <t>GCW_SW_A</t>
  </si>
  <si>
    <t>GCW_SW_B</t>
  </si>
  <si>
    <t>GCW_SW_C</t>
  </si>
  <si>
    <t>MSM_TR_RHZ_SF_2</t>
  </si>
  <si>
    <t>MSM_TR_RHZ_SF_3</t>
  </si>
  <si>
    <t>MSM_TR_RHZ_SF_1</t>
  </si>
  <si>
    <t>MSM_TR_RHZ_SF_4</t>
  </si>
  <si>
    <t>MSM_TR_RHZ_SF_6</t>
  </si>
  <si>
    <t>MSM_TR_RHZ_SF_7</t>
  </si>
  <si>
    <t>MSM_TR_RHZ_SF_5</t>
  </si>
  <si>
    <t>MSM_TR_RHZ_SF_6_dup</t>
  </si>
  <si>
    <t>MSM_TR_RHZ_SF_7_spk</t>
  </si>
  <si>
    <t>MSM_WC_RHZ_Col_1</t>
  </si>
  <si>
    <t>MSM_WC_RHZ_Col_5</t>
  </si>
  <si>
    <t>MSM_WC_RHZ_SipA</t>
  </si>
  <si>
    <t>MSM_WC_RHZ_SipB_redo</t>
  </si>
  <si>
    <t>MSM_WC_RHZ_SipC_redo</t>
  </si>
  <si>
    <t>MSM_WC_RHZ_Col_2_redo</t>
  </si>
  <si>
    <t>MSM_WC_RHZ_Col_3_redo</t>
  </si>
  <si>
    <t>MSM_WC_RHZ_Col_4_redo</t>
  </si>
  <si>
    <t>SWH_TR_LysA_45cm</t>
  </si>
  <si>
    <t>SWH_TR_LysB_45cm</t>
  </si>
  <si>
    <t>MSM_RHZ_WC_Col_2</t>
  </si>
  <si>
    <t>MSM_RHZ_WC_Col_3</t>
  </si>
  <si>
    <t>MSM_RHZ_WC_Col_4</t>
  </si>
  <si>
    <t>MSM_RHZ_WC_Sip_B</t>
  </si>
  <si>
    <t>MSM_RHZ_WC_Sip_B_dup</t>
  </si>
  <si>
    <t>MSM_RHZ_WC_Sip_C</t>
  </si>
  <si>
    <t>MSM_RHZ_WC_Sip_C_spk</t>
  </si>
  <si>
    <t>MSM_RHZ_TR_SF_8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</si>
</sst>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617529232994481"/>
                  <c:y val="0.26654845542934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Stds!$B$3:$B$10</c:f>
              <c:numCache>
                <c:formatCode>General</c:formatCode>
                <c:ptCount val="8"/>
                <c:pt idx="0">
                  <c:v>5.0666666666666665E-2</c:v>
                </c:pt>
                <c:pt idx="1">
                  <c:v>0.14166666666666666</c:v>
                </c:pt>
                <c:pt idx="2">
                  <c:v>0.27650000000000002</c:v>
                </c:pt>
                <c:pt idx="3">
                  <c:v>0.46866666666666662</c:v>
                </c:pt>
                <c:pt idx="4">
                  <c:v>0.874</c:v>
                </c:pt>
                <c:pt idx="5">
                  <c:v>1.4340000000000002</c:v>
                </c:pt>
                <c:pt idx="6">
                  <c:v>1.389</c:v>
                </c:pt>
                <c:pt idx="7">
                  <c:v>1.3786666666666667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4-48E9-8146-AF6CCB82A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979168"/>
        <c:axId val="538986008"/>
      </c:scatterChart>
      <c:valAx>
        <c:axId val="53897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86008"/>
        <c:crosses val="autoZero"/>
        <c:crossBetween val="midCat"/>
      </c:valAx>
      <c:valAx>
        <c:axId val="53898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46434901612312"/>
                  <c:y val="0.27218988638720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</c:numCache>
            </c:numRef>
          </c:xVal>
          <c:yVal>
            <c:numRef>
              <c:f>Stds!$B$14:$B$20</c:f>
              <c:numCache>
                <c:formatCode>General</c:formatCode>
                <c:ptCount val="7"/>
                <c:pt idx="0">
                  <c:v>5.4666666666666669E-2</c:v>
                </c:pt>
                <c:pt idx="1">
                  <c:v>0.14566666666666669</c:v>
                </c:pt>
                <c:pt idx="2">
                  <c:v>0.34699999999999998</c:v>
                </c:pt>
                <c:pt idx="3">
                  <c:v>0.45900000000000002</c:v>
                </c:pt>
                <c:pt idx="4">
                  <c:v>0.88749999999999996</c:v>
                </c:pt>
                <c:pt idx="5">
                  <c:v>1.4390000000000001</c:v>
                </c:pt>
                <c:pt idx="6">
                  <c:v>1.4803333333333333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3-4FC9-9F64-28E729084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94032"/>
        <c:axId val="438391152"/>
      </c:scatterChart>
      <c:valAx>
        <c:axId val="43839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1152"/>
        <c:crosses val="autoZero"/>
        <c:crossBetween val="midCat"/>
      </c:valAx>
      <c:valAx>
        <c:axId val="4383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863473315835521"/>
                  <c:y val="0.20791666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4.7333333333333338E-2</c:v>
                </c:pt>
                <c:pt idx="1">
                  <c:v>0.13733333333333334</c:v>
                </c:pt>
                <c:pt idx="2">
                  <c:v>0.33300000000000002</c:v>
                </c:pt>
                <c:pt idx="3">
                  <c:v>0.48</c:v>
                </c:pt>
                <c:pt idx="4">
                  <c:v>0.89200000000000002</c:v>
                </c:pt>
                <c:pt idx="5">
                  <c:v>1.4685000000000001</c:v>
                </c:pt>
                <c:pt idx="6">
                  <c:v>1.4886666666666668</c:v>
                </c:pt>
                <c:pt idx="7">
                  <c:v>1.4633333333333332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7-4C30-8CC8-54B11922C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864552"/>
        <c:axId val="447860592"/>
      </c:scatterChart>
      <c:valAx>
        <c:axId val="44786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60592"/>
        <c:crosses val="autoZero"/>
        <c:crossBetween val="midCat"/>
      </c:valAx>
      <c:valAx>
        <c:axId val="4478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6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190288713910768E-2"/>
                  <c:y val="0.16625000000000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4.8333333333333339E-2</c:v>
                </c:pt>
                <c:pt idx="1">
                  <c:v>0.13533333333333333</c:v>
                </c:pt>
                <c:pt idx="2">
                  <c:v>0.27733333333333338</c:v>
                </c:pt>
                <c:pt idx="3">
                  <c:v>0.49</c:v>
                </c:pt>
                <c:pt idx="4">
                  <c:v>0.89450000000000007</c:v>
                </c:pt>
                <c:pt idx="5">
                  <c:v>1.4736666666666665</c:v>
                </c:pt>
                <c:pt idx="6">
                  <c:v>1.5163333333333331</c:v>
                </c:pt>
                <c:pt idx="7">
                  <c:v>1.4245000000000001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7-484B-A1F1-93DCC302D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264624"/>
        <c:axId val="368469792"/>
      </c:scatterChart>
      <c:valAx>
        <c:axId val="5642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69792"/>
        <c:crosses val="autoZero"/>
        <c:crossBetween val="midCat"/>
      </c:valAx>
      <c:valAx>
        <c:axId val="3684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30139982502188"/>
                  <c:y val="0.19798155438903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4.7999999999999994E-2</c:v>
                </c:pt>
                <c:pt idx="1">
                  <c:v>0.15366666666666665</c:v>
                </c:pt>
                <c:pt idx="2">
                  <c:v>0.28899999999999998</c:v>
                </c:pt>
                <c:pt idx="3">
                  <c:v>0.47066666666666673</c:v>
                </c:pt>
                <c:pt idx="4">
                  <c:v>0.79100000000000004</c:v>
                </c:pt>
                <c:pt idx="5">
                  <c:v>1.2996666666666667</c:v>
                </c:pt>
                <c:pt idx="6">
                  <c:v>1.3979999999999999</c:v>
                </c:pt>
                <c:pt idx="7">
                  <c:v>1.3320000000000001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D-4285-87BC-05B69C99E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262104"/>
        <c:axId val="564264624"/>
      </c:scatterChart>
      <c:valAx>
        <c:axId val="564262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64624"/>
        <c:crosses val="autoZero"/>
        <c:crossBetween val="midCat"/>
      </c:valAx>
      <c:valAx>
        <c:axId val="5642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62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68066491688539E-2"/>
                  <c:y val="0.20177384076990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4.9000000000000009E-2</c:v>
                </c:pt>
                <c:pt idx="1">
                  <c:v>0.14899999999999999</c:v>
                </c:pt>
                <c:pt idx="2">
                  <c:v>0.28633333333333333</c:v>
                </c:pt>
                <c:pt idx="3">
                  <c:v>0.48050000000000004</c:v>
                </c:pt>
                <c:pt idx="4">
                  <c:v>0.88850000000000007</c:v>
                </c:pt>
                <c:pt idx="5">
                  <c:v>1.2270000000000001</c:v>
                </c:pt>
                <c:pt idx="6">
                  <c:v>1.3946666666666667</c:v>
                </c:pt>
                <c:pt idx="7">
                  <c:v>1.4253333333333333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D-4241-96DF-ED3411A2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974848"/>
        <c:axId val="538975928"/>
      </c:scatterChart>
      <c:valAx>
        <c:axId val="5389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5928"/>
        <c:crosses val="autoZero"/>
        <c:crossBetween val="midCat"/>
      </c:valAx>
      <c:valAx>
        <c:axId val="53897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30139982502187"/>
                  <c:y val="0.18117745698454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5.0999999999999997E-2</c:v>
                </c:pt>
                <c:pt idx="1">
                  <c:v>0.13033333333333333</c:v>
                </c:pt>
                <c:pt idx="2">
                  <c:v>0.28100000000000003</c:v>
                </c:pt>
                <c:pt idx="3">
                  <c:v>0.503</c:v>
                </c:pt>
                <c:pt idx="4">
                  <c:v>0.82899999999999996</c:v>
                </c:pt>
                <c:pt idx="5">
                  <c:v>1.254</c:v>
                </c:pt>
                <c:pt idx="6">
                  <c:v>1.4029999999999998</c:v>
                </c:pt>
                <c:pt idx="7">
                  <c:v>1.3733333333333333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1-493A-A771-FDC5FFECE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266784"/>
        <c:axId val="533051640"/>
      </c:scatterChart>
      <c:valAx>
        <c:axId val="56426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51640"/>
        <c:crosses val="autoZero"/>
        <c:crossBetween val="midCat"/>
      </c:valAx>
      <c:valAx>
        <c:axId val="53305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6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33337</xdr:rowOff>
    </xdr:from>
    <xdr:to>
      <xdr:col>10</xdr:col>
      <xdr:colOff>200025</xdr:colOff>
      <xdr:row>11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CF0355A-66F2-910D-F7A5-F422E9180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366713</xdr:colOff>
      <xdr:row>11</xdr:row>
      <xdr:rowOff>176213</xdr:rowOff>
    </xdr:from>
    <xdr:to>
      <xdr:col>11</xdr:col>
      <xdr:colOff>76201</xdr:colOff>
      <xdr:row>22</xdr:row>
      <xdr:rowOff>19051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DBFF26-BAD5-A1D7-D3BB-C3D7ECEA4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290512</xdr:colOff>
      <xdr:row>23</xdr:row>
      <xdr:rowOff>157162</xdr:rowOff>
    </xdr:from>
    <xdr:to>
      <xdr:col>10</xdr:col>
      <xdr:colOff>542925</xdr:colOff>
      <xdr:row>32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E414D4E-55B7-AE30-181C-A71C8CBFC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300037</xdr:colOff>
      <xdr:row>34</xdr:row>
      <xdr:rowOff>33337</xdr:rowOff>
    </xdr:from>
    <xdr:to>
      <xdr:col>11</xdr:col>
      <xdr:colOff>57150</xdr:colOff>
      <xdr:row>43</xdr:row>
      <xdr:rowOff>133350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2551C0-36E0-04D3-5867-D264BEC90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185737</xdr:colOff>
      <xdr:row>45</xdr:row>
      <xdr:rowOff>4762</xdr:rowOff>
    </xdr:from>
    <xdr:to>
      <xdr:col>11</xdr:col>
      <xdr:colOff>123825</xdr:colOff>
      <xdr:row>54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D2986E-5924-0E05-215F-DC903E5B2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252413</xdr:colOff>
      <xdr:row>55</xdr:row>
      <xdr:rowOff>166687</xdr:rowOff>
    </xdr:from>
    <xdr:to>
      <xdr:col>11</xdr:col>
      <xdr:colOff>171451</xdr:colOff>
      <xdr:row>66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7B38FF0-AC9C-0247-F38F-D02F4AC2B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300037</xdr:colOff>
      <xdr:row>67</xdr:row>
      <xdr:rowOff>71438</xdr:rowOff>
    </xdr:from>
    <xdr:to>
      <xdr:col>11</xdr:col>
      <xdr:colOff>219075</xdr:colOff>
      <xdr:row>77</xdr:row>
      <xdr:rowOff>123826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AADD75A-3514-677A-E598-EA18333E1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20B9-2A2C-477A-B772-80429BDFEF18}">
  <dimension ref="A1:E77"/>
  <sheetViews>
    <sheetView topLeftCell="A49" workbookViewId="0">
      <selection activeCell="B76" sqref="B76"/>
    </sheetView>
  </sheetViews>
  <sheetFormatPr defaultRowHeight="15" x14ac:dyDescent="0.25"/>
  <sheetData>
    <row r="1" spans="1:5" x14ac:dyDescent="0.25">
      <c r="A1" s="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0</v>
      </c>
      <c r="B3">
        <f>AVERAGE(C3:E3)</f>
        <v>5.0666666666666665E-2</v>
      </c>
      <c r="C3" s="2">
        <v>0.05</v>
      </c>
      <c r="D3" s="2">
        <v>5.0999999999999997E-2</v>
      </c>
      <c r="E3" s="2">
        <v>5.0999999999999997E-2</v>
      </c>
    </row>
    <row r="4" spans="1:5" x14ac:dyDescent="0.25">
      <c r="A4">
        <v>5</v>
      </c>
      <c r="B4">
        <f>AVERAGE(C4:E4)</f>
        <v>0.14166666666666666</v>
      </c>
      <c r="C4" s="2">
        <v>0.14299999999999999</v>
      </c>
      <c r="D4" s="2">
        <v>0.14499999999999999</v>
      </c>
      <c r="E4" s="2">
        <v>0.13700000000000001</v>
      </c>
    </row>
    <row r="5" spans="1:5" x14ac:dyDescent="0.25">
      <c r="A5">
        <v>12.5</v>
      </c>
      <c r="B5">
        <f>AVERAGE(C5:D5)</f>
        <v>0.27650000000000002</v>
      </c>
      <c r="C5" s="2">
        <v>0.27200000000000002</v>
      </c>
      <c r="D5" s="2">
        <v>0.28100000000000003</v>
      </c>
      <c r="E5" s="2">
        <v>0.28499999999999998</v>
      </c>
    </row>
    <row r="6" spans="1:5" x14ac:dyDescent="0.25">
      <c r="A6">
        <v>25</v>
      </c>
      <c r="B6">
        <f>AVERAGE(C6:E6)</f>
        <v>0.46866666666666662</v>
      </c>
      <c r="C6" s="2">
        <v>0.48299999999999998</v>
      </c>
      <c r="D6" s="2">
        <v>0.43099999999999999</v>
      </c>
      <c r="E6" s="2">
        <v>0.49199999999999999</v>
      </c>
    </row>
    <row r="7" spans="1:5" x14ac:dyDescent="0.25">
      <c r="A7">
        <v>50</v>
      </c>
      <c r="B7">
        <f>AVERAGE(C7,E7)</f>
        <v>0.874</v>
      </c>
      <c r="C7" s="2">
        <v>0.878</v>
      </c>
      <c r="D7" s="2">
        <v>0.99199999999999999</v>
      </c>
      <c r="E7" s="2">
        <v>0.87</v>
      </c>
    </row>
    <row r="8" spans="1:5" x14ac:dyDescent="0.25">
      <c r="A8">
        <v>100</v>
      </c>
      <c r="B8">
        <f>AVERAGE(C8:D8)</f>
        <v>1.4340000000000002</v>
      </c>
      <c r="C8" s="2">
        <v>1.4510000000000001</v>
      </c>
      <c r="D8" s="2">
        <v>1.417</v>
      </c>
      <c r="E8" s="2">
        <v>1.3859999999999999</v>
      </c>
    </row>
    <row r="9" spans="1:5" x14ac:dyDescent="0.25">
      <c r="A9">
        <v>100</v>
      </c>
      <c r="B9">
        <f>AVERAGE(C9:E9)</f>
        <v>1.389</v>
      </c>
      <c r="C9" s="2">
        <v>1.4510000000000001</v>
      </c>
      <c r="D9" s="2">
        <v>1.373</v>
      </c>
      <c r="E9" s="2">
        <v>1.343</v>
      </c>
    </row>
    <row r="10" spans="1:5" x14ac:dyDescent="0.25">
      <c r="A10">
        <v>100</v>
      </c>
      <c r="B10">
        <f>AVERAGE(C10:E10)</f>
        <v>1.3786666666666667</v>
      </c>
      <c r="C10" s="2">
        <v>1.482</v>
      </c>
      <c r="D10" s="2">
        <v>1.3819999999999999</v>
      </c>
      <c r="E10" s="2">
        <v>1.272</v>
      </c>
    </row>
    <row r="12" spans="1:5" x14ac:dyDescent="0.25">
      <c r="A12" s="1" t="s">
        <v>6</v>
      </c>
    </row>
    <row r="13" spans="1: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25">
      <c r="A14">
        <v>0</v>
      </c>
      <c r="B14">
        <f>AVERAGE(C14:E14)</f>
        <v>5.4666666666666669E-2</v>
      </c>
      <c r="C14">
        <v>5.7000000000000002E-2</v>
      </c>
      <c r="D14">
        <v>5.7000000000000002E-2</v>
      </c>
      <c r="E14">
        <v>0.05</v>
      </c>
    </row>
    <row r="15" spans="1:5" x14ac:dyDescent="0.25">
      <c r="A15">
        <v>5</v>
      </c>
      <c r="B15">
        <f>AVERAGE(C15:E15)</f>
        <v>0.14566666666666669</v>
      </c>
      <c r="C15">
        <v>0.125</v>
      </c>
      <c r="D15">
        <v>0.16700000000000001</v>
      </c>
      <c r="E15">
        <v>0.14499999999999999</v>
      </c>
    </row>
    <row r="16" spans="1:5" x14ac:dyDescent="0.25">
      <c r="A16">
        <v>12.5</v>
      </c>
      <c r="B16">
        <f>AVERAGE(C16:E16)</f>
        <v>0.34699999999999998</v>
      </c>
      <c r="C16">
        <v>0.307</v>
      </c>
      <c r="D16">
        <v>0.35</v>
      </c>
      <c r="E16">
        <v>0.38400000000000001</v>
      </c>
    </row>
    <row r="17" spans="1:5" x14ac:dyDescent="0.25">
      <c r="A17">
        <v>25</v>
      </c>
      <c r="B17">
        <f>AVERAGE(D17:E17)</f>
        <v>0.45900000000000002</v>
      </c>
      <c r="C17">
        <v>0.57099999999999995</v>
      </c>
      <c r="D17">
        <v>0.51300000000000001</v>
      </c>
      <c r="E17">
        <v>0.40500000000000003</v>
      </c>
    </row>
    <row r="18" spans="1:5" x14ac:dyDescent="0.25">
      <c r="A18">
        <v>50</v>
      </c>
      <c r="B18">
        <f>AVERAGE(C18,E18)</f>
        <v>0.88749999999999996</v>
      </c>
      <c r="C18">
        <v>0.83199999999999996</v>
      </c>
      <c r="D18">
        <v>1.0469999999999999</v>
      </c>
      <c r="E18">
        <v>0.94299999999999995</v>
      </c>
    </row>
    <row r="19" spans="1:5" x14ac:dyDescent="0.25">
      <c r="A19">
        <v>100</v>
      </c>
      <c r="B19">
        <f>AVERAGE(D19:E19)</f>
        <v>1.4390000000000001</v>
      </c>
      <c r="C19">
        <v>1.1719999999999999</v>
      </c>
      <c r="D19">
        <v>1.4750000000000001</v>
      </c>
      <c r="E19">
        <v>1.403</v>
      </c>
    </row>
    <row r="20" spans="1:5" x14ac:dyDescent="0.25">
      <c r="A20">
        <v>100</v>
      </c>
      <c r="B20">
        <f>AVERAGE(C20:E20)</f>
        <v>1.4803333333333333</v>
      </c>
      <c r="C20">
        <v>1.4470000000000001</v>
      </c>
      <c r="D20">
        <v>1.492</v>
      </c>
      <c r="E20">
        <v>1.502</v>
      </c>
    </row>
    <row r="21" spans="1:5" x14ac:dyDescent="0.25">
      <c r="A21">
        <v>100</v>
      </c>
      <c r="B21">
        <f>AVERAGE(C21:E21)</f>
        <v>1.2466666666666668</v>
      </c>
      <c r="C21">
        <v>1.266</v>
      </c>
      <c r="D21">
        <v>1.256</v>
      </c>
      <c r="E21">
        <v>1.218</v>
      </c>
    </row>
    <row r="23" spans="1:5" x14ac:dyDescent="0.25">
      <c r="A23" s="1" t="s">
        <v>7</v>
      </c>
    </row>
    <row r="24" spans="1:5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</row>
    <row r="25" spans="1:5" x14ac:dyDescent="0.25">
      <c r="A25">
        <v>0</v>
      </c>
      <c r="B25">
        <f>AVERAGE(C25:E25)</f>
        <v>4.7333333333333338E-2</v>
      </c>
      <c r="C25" s="2">
        <v>4.5999999999999999E-2</v>
      </c>
      <c r="D25" s="2">
        <v>4.8000000000000001E-2</v>
      </c>
      <c r="E25" s="2">
        <v>4.8000000000000001E-2</v>
      </c>
    </row>
    <row r="26" spans="1:5" x14ac:dyDescent="0.25">
      <c r="A26">
        <v>5</v>
      </c>
      <c r="B26">
        <f>AVERAGE(C26:E26)</f>
        <v>0.13733333333333334</v>
      </c>
      <c r="C26" s="2">
        <v>0.13300000000000001</v>
      </c>
      <c r="D26" s="2">
        <v>0.13200000000000001</v>
      </c>
      <c r="E26" s="2">
        <v>0.14699999999999999</v>
      </c>
    </row>
    <row r="27" spans="1:5" x14ac:dyDescent="0.25">
      <c r="A27">
        <v>12.5</v>
      </c>
      <c r="B27">
        <f>AVERAGE(C27:D27)</f>
        <v>0.33300000000000002</v>
      </c>
      <c r="C27" s="2">
        <v>0.39100000000000001</v>
      </c>
      <c r="D27" s="2">
        <v>0.27500000000000002</v>
      </c>
      <c r="E27" s="2">
        <v>0.28499999999999998</v>
      </c>
    </row>
    <row r="28" spans="1:5" x14ac:dyDescent="0.25">
      <c r="A28">
        <v>25</v>
      </c>
      <c r="B28">
        <f>AVERAGE(C28,E28)</f>
        <v>0.48</v>
      </c>
      <c r="C28" s="2">
        <v>0.503</v>
      </c>
      <c r="D28" s="2">
        <v>0.65600000000000003</v>
      </c>
      <c r="E28" s="2">
        <v>0.45700000000000002</v>
      </c>
    </row>
    <row r="29" spans="1:5" x14ac:dyDescent="0.25">
      <c r="A29">
        <v>50</v>
      </c>
      <c r="B29">
        <f>AVERAGE(C29:D29)</f>
        <v>0.89200000000000002</v>
      </c>
      <c r="C29" s="2">
        <v>0.86599999999999999</v>
      </c>
      <c r="D29" s="2">
        <v>0.91800000000000004</v>
      </c>
      <c r="E29" s="2">
        <v>1.07</v>
      </c>
    </row>
    <row r="30" spans="1:5" x14ac:dyDescent="0.25">
      <c r="A30">
        <v>100</v>
      </c>
      <c r="B30">
        <f>AVERAGE(C30:D30)</f>
        <v>1.4685000000000001</v>
      </c>
      <c r="C30" s="2">
        <v>1.53</v>
      </c>
      <c r="D30" s="2">
        <v>1.407</v>
      </c>
      <c r="E30" s="2">
        <v>1.341</v>
      </c>
    </row>
    <row r="31" spans="1:5" x14ac:dyDescent="0.25">
      <c r="A31">
        <v>100</v>
      </c>
      <c r="B31">
        <f>AVERAGE(C31:E31)</f>
        <v>1.4886666666666668</v>
      </c>
      <c r="C31" s="2">
        <v>1.5369999999999999</v>
      </c>
      <c r="D31" s="2">
        <v>1.472</v>
      </c>
      <c r="E31" s="2">
        <v>1.4570000000000001</v>
      </c>
    </row>
    <row r="32" spans="1:5" x14ac:dyDescent="0.25">
      <c r="A32">
        <v>100</v>
      </c>
      <c r="B32">
        <f>AVERAGE(C32:E32)</f>
        <v>1.4633333333333332</v>
      </c>
      <c r="C32" s="2">
        <v>1.448</v>
      </c>
      <c r="D32" s="2">
        <v>1.49</v>
      </c>
      <c r="E32" s="2">
        <v>1.452</v>
      </c>
    </row>
    <row r="34" spans="1:5" x14ac:dyDescent="0.25">
      <c r="A34" s="1" t="s">
        <v>8</v>
      </c>
    </row>
    <row r="35" spans="1: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25">
      <c r="A36">
        <v>0</v>
      </c>
      <c r="B36">
        <f>AVERAGE(C36:E36)</f>
        <v>4.8333333333333339E-2</v>
      </c>
      <c r="C36" s="2">
        <v>4.8000000000000001E-2</v>
      </c>
      <c r="D36" s="2">
        <v>4.8000000000000001E-2</v>
      </c>
      <c r="E36" s="2">
        <v>4.9000000000000002E-2</v>
      </c>
    </row>
    <row r="37" spans="1:5" x14ac:dyDescent="0.25">
      <c r="A37">
        <v>5</v>
      </c>
      <c r="B37">
        <f>AVERAGE(C37:E37)</f>
        <v>0.13533333333333333</v>
      </c>
      <c r="C37" s="2">
        <v>0.151</v>
      </c>
      <c r="D37" s="2">
        <v>0.13300000000000001</v>
      </c>
      <c r="E37" s="2">
        <v>0.122</v>
      </c>
    </row>
    <row r="38" spans="1:5" x14ac:dyDescent="0.25">
      <c r="A38">
        <v>12.5</v>
      </c>
      <c r="B38">
        <f>AVERAGE(C38:E38)</f>
        <v>0.27733333333333338</v>
      </c>
      <c r="C38" s="2">
        <v>0.26</v>
      </c>
      <c r="D38" s="2">
        <v>0.28100000000000003</v>
      </c>
      <c r="E38" s="2">
        <v>0.29099999999999998</v>
      </c>
    </row>
    <row r="39" spans="1:5" x14ac:dyDescent="0.25">
      <c r="A39">
        <v>25</v>
      </c>
      <c r="B39">
        <f>AVERAGE(C39,E39)</f>
        <v>0.49</v>
      </c>
      <c r="C39" s="2">
        <v>0.48099999999999998</v>
      </c>
      <c r="D39" s="2">
        <v>0.51700000000000002</v>
      </c>
      <c r="E39" s="2">
        <v>0.499</v>
      </c>
    </row>
    <row r="40" spans="1:5" x14ac:dyDescent="0.25">
      <c r="A40">
        <v>50</v>
      </c>
      <c r="B40">
        <f>AVERAGE(C40:D40)</f>
        <v>0.89450000000000007</v>
      </c>
      <c r="C40" s="2">
        <v>0.90800000000000003</v>
      </c>
      <c r="D40" s="2">
        <v>0.88100000000000001</v>
      </c>
      <c r="E40" s="2">
        <v>0.84199999999999997</v>
      </c>
    </row>
    <row r="41" spans="1:5" x14ac:dyDescent="0.25">
      <c r="A41">
        <v>100</v>
      </c>
      <c r="B41">
        <f>AVERAGE(C41:E41)</f>
        <v>1.4736666666666665</v>
      </c>
      <c r="C41" s="2">
        <v>1.5289999999999999</v>
      </c>
      <c r="D41" s="2">
        <v>1.5209999999999999</v>
      </c>
      <c r="E41" s="2">
        <v>1.371</v>
      </c>
    </row>
    <row r="42" spans="1:5" x14ac:dyDescent="0.25">
      <c r="A42">
        <v>100</v>
      </c>
      <c r="B42">
        <f>AVERAGE(C42:E42)</f>
        <v>1.5163333333333331</v>
      </c>
      <c r="C42" s="2">
        <v>1.55</v>
      </c>
      <c r="D42" s="2">
        <v>1.508</v>
      </c>
      <c r="E42" s="2">
        <v>1.4910000000000001</v>
      </c>
    </row>
    <row r="43" spans="1:5" x14ac:dyDescent="0.25">
      <c r="A43">
        <v>100</v>
      </c>
      <c r="B43">
        <f>AVERAGE(D43:E43)</f>
        <v>1.4245000000000001</v>
      </c>
      <c r="C43" s="2">
        <v>1.569</v>
      </c>
      <c r="D43" s="2">
        <v>1.3520000000000001</v>
      </c>
      <c r="E43" s="2">
        <v>1.4970000000000001</v>
      </c>
    </row>
    <row r="45" spans="1:5" x14ac:dyDescent="0.25">
      <c r="A45" s="1" t="s">
        <v>9</v>
      </c>
    </row>
    <row r="46" spans="1:5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</row>
    <row r="47" spans="1:5" x14ac:dyDescent="0.25">
      <c r="A47">
        <v>0</v>
      </c>
      <c r="B47">
        <f>AVERAGE(C47:E47)</f>
        <v>4.7999999999999994E-2</v>
      </c>
      <c r="C47" s="2">
        <v>0.05</v>
      </c>
      <c r="D47" s="2">
        <v>4.2999999999999997E-2</v>
      </c>
      <c r="E47" s="2">
        <v>5.0999999999999997E-2</v>
      </c>
    </row>
    <row r="48" spans="1:5" x14ac:dyDescent="0.25">
      <c r="A48">
        <v>5</v>
      </c>
      <c r="B48">
        <f>AVERAGE(C48:E48)</f>
        <v>0.15366666666666665</v>
      </c>
      <c r="C48" s="2">
        <v>0.14899999999999999</v>
      </c>
      <c r="D48" s="2">
        <v>0.16700000000000001</v>
      </c>
      <c r="E48" s="2">
        <v>0.14499999999999999</v>
      </c>
    </row>
    <row r="49" spans="1:5" x14ac:dyDescent="0.25">
      <c r="A49">
        <v>12.5</v>
      </c>
      <c r="B49">
        <f>AVERAGE(C49:E49)</f>
        <v>0.28899999999999998</v>
      </c>
      <c r="C49" s="2">
        <v>0.26</v>
      </c>
      <c r="D49" s="2">
        <v>0.34300000000000003</v>
      </c>
      <c r="E49" s="2">
        <v>0.26400000000000001</v>
      </c>
    </row>
    <row r="50" spans="1:5" x14ac:dyDescent="0.25">
      <c r="A50">
        <v>25</v>
      </c>
      <c r="B50">
        <f>AVERAGE(C50:E50)</f>
        <v>0.47066666666666673</v>
      </c>
      <c r="C50" s="2">
        <v>0.45900000000000002</v>
      </c>
      <c r="D50" s="2">
        <v>0.48799999999999999</v>
      </c>
      <c r="E50" s="2">
        <v>0.46500000000000002</v>
      </c>
    </row>
    <row r="51" spans="1:5" x14ac:dyDescent="0.25">
      <c r="A51">
        <v>50</v>
      </c>
      <c r="B51">
        <f>AVERAGE(C51,E51)</f>
        <v>0.79100000000000004</v>
      </c>
      <c r="C51" s="2">
        <v>0.80300000000000005</v>
      </c>
      <c r="D51" s="2">
        <v>0.91800000000000004</v>
      </c>
      <c r="E51" s="2">
        <v>0.77900000000000003</v>
      </c>
    </row>
    <row r="52" spans="1:5" x14ac:dyDescent="0.25">
      <c r="A52">
        <v>100</v>
      </c>
      <c r="B52">
        <f>AVERAGE(C52:E52)</f>
        <v>1.2996666666666667</v>
      </c>
      <c r="C52" s="2">
        <v>1.3460000000000001</v>
      </c>
      <c r="D52" s="2">
        <v>1.1859999999999999</v>
      </c>
      <c r="E52" s="2">
        <v>1.367</v>
      </c>
    </row>
    <row r="53" spans="1:5" x14ac:dyDescent="0.25">
      <c r="A53">
        <v>100</v>
      </c>
      <c r="B53">
        <f>AVERAGE(C53:E53)</f>
        <v>1.3979999999999999</v>
      </c>
      <c r="C53" s="2">
        <v>1.397</v>
      </c>
      <c r="D53" s="2">
        <v>1.3240000000000001</v>
      </c>
      <c r="E53" s="2">
        <v>1.4730000000000001</v>
      </c>
    </row>
    <row r="54" spans="1:5" x14ac:dyDescent="0.25">
      <c r="A54">
        <v>100</v>
      </c>
      <c r="B54">
        <f>AVERAGE(C54:E54)</f>
        <v>1.3320000000000001</v>
      </c>
      <c r="C54" s="2">
        <v>1.3480000000000001</v>
      </c>
      <c r="D54" s="2">
        <v>1.3460000000000001</v>
      </c>
      <c r="E54" s="2">
        <v>1.302</v>
      </c>
    </row>
    <row r="56" spans="1:5" x14ac:dyDescent="0.25">
      <c r="A56" s="1" t="s">
        <v>10</v>
      </c>
    </row>
    <row r="57" spans="1: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</row>
    <row r="58" spans="1:5" x14ac:dyDescent="0.25">
      <c r="A58">
        <v>0</v>
      </c>
      <c r="B58">
        <f>AVERAGE(C58:E58)</f>
        <v>4.9000000000000009E-2</v>
      </c>
      <c r="C58" s="2">
        <v>4.8000000000000001E-2</v>
      </c>
      <c r="D58" s="2">
        <v>0.05</v>
      </c>
      <c r="E58" s="2">
        <v>4.9000000000000002E-2</v>
      </c>
    </row>
    <row r="59" spans="1:5" x14ac:dyDescent="0.25">
      <c r="A59">
        <v>5</v>
      </c>
      <c r="B59">
        <f>AVERAGE(C59:E59)</f>
        <v>0.14899999999999999</v>
      </c>
      <c r="C59" s="2">
        <v>0.129</v>
      </c>
      <c r="D59" s="2">
        <v>0.13800000000000001</v>
      </c>
      <c r="E59" s="2">
        <v>0.18</v>
      </c>
    </row>
    <row r="60" spans="1:5" x14ac:dyDescent="0.25">
      <c r="A60">
        <v>12.5</v>
      </c>
      <c r="B60">
        <f>AVERAGE(C60:E60)</f>
        <v>0.28633333333333333</v>
      </c>
      <c r="C60" s="2">
        <v>0.30199999999999999</v>
      </c>
      <c r="D60" s="2">
        <v>0.29899999999999999</v>
      </c>
      <c r="E60" s="2">
        <v>0.25800000000000001</v>
      </c>
    </row>
    <row r="61" spans="1:5" x14ac:dyDescent="0.25">
      <c r="A61">
        <v>25</v>
      </c>
      <c r="B61">
        <f>AVERAGE(C61:D61)</f>
        <v>0.48050000000000004</v>
      </c>
      <c r="C61" s="2">
        <v>0.5</v>
      </c>
      <c r="D61" s="2">
        <v>0.46100000000000002</v>
      </c>
      <c r="E61" s="2">
        <v>0.44400000000000001</v>
      </c>
    </row>
    <row r="62" spans="1:5" x14ac:dyDescent="0.25">
      <c r="A62">
        <v>50</v>
      </c>
      <c r="B62">
        <f>AVERAGE(C62,E62)</f>
        <v>0.88850000000000007</v>
      </c>
      <c r="C62" s="2">
        <v>0.88500000000000001</v>
      </c>
      <c r="D62" s="2">
        <v>0.93400000000000005</v>
      </c>
      <c r="E62" s="2">
        <v>0.89200000000000002</v>
      </c>
    </row>
    <row r="63" spans="1:5" x14ac:dyDescent="0.25">
      <c r="A63">
        <v>100</v>
      </c>
      <c r="B63">
        <f>E63</f>
        <v>1.2270000000000001</v>
      </c>
      <c r="C63" s="2">
        <v>1.1299999999999999</v>
      </c>
      <c r="D63" s="2">
        <v>1.109</v>
      </c>
      <c r="E63" s="2">
        <v>1.2270000000000001</v>
      </c>
    </row>
    <row r="64" spans="1:5" x14ac:dyDescent="0.25">
      <c r="A64">
        <v>100</v>
      </c>
      <c r="B64">
        <f>AVERAGE(C64:E64)</f>
        <v>1.3946666666666667</v>
      </c>
      <c r="C64" s="2">
        <v>1.335</v>
      </c>
      <c r="D64" s="2">
        <v>1.4179999999999999</v>
      </c>
      <c r="E64" s="2">
        <v>1.431</v>
      </c>
    </row>
    <row r="65" spans="1:5" x14ac:dyDescent="0.25">
      <c r="A65">
        <v>100</v>
      </c>
      <c r="B65">
        <f>AVERAGE(C65:E65)</f>
        <v>1.4253333333333333</v>
      </c>
      <c r="C65" s="2">
        <v>1.458</v>
      </c>
      <c r="D65" s="2">
        <v>1.331</v>
      </c>
      <c r="E65" s="2">
        <v>1.4870000000000001</v>
      </c>
    </row>
    <row r="68" spans="1:5" x14ac:dyDescent="0.25">
      <c r="A68" s="1" t="s">
        <v>11</v>
      </c>
    </row>
    <row r="69" spans="1: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</row>
    <row r="70" spans="1:5" x14ac:dyDescent="0.25">
      <c r="A70">
        <v>0</v>
      </c>
      <c r="B70">
        <f>AVERAGE(C70:E70)</f>
        <v>5.0999999999999997E-2</v>
      </c>
      <c r="C70" s="2">
        <v>4.8000000000000001E-2</v>
      </c>
      <c r="D70" s="2">
        <v>4.9000000000000002E-2</v>
      </c>
      <c r="E70" s="2">
        <v>5.6000000000000001E-2</v>
      </c>
    </row>
    <row r="71" spans="1:5" x14ac:dyDescent="0.25">
      <c r="A71">
        <v>5</v>
      </c>
      <c r="B71">
        <f>AVERAGE(C71:E71)</f>
        <v>0.13033333333333333</v>
      </c>
      <c r="C71" s="2">
        <v>0.122</v>
      </c>
      <c r="D71" s="2">
        <v>0.13800000000000001</v>
      </c>
      <c r="E71" s="2">
        <v>0.13100000000000001</v>
      </c>
    </row>
    <row r="72" spans="1:5" x14ac:dyDescent="0.25">
      <c r="A72">
        <v>12.5</v>
      </c>
      <c r="B72">
        <f>AVERAGE(C72:E72)</f>
        <v>0.28100000000000003</v>
      </c>
      <c r="C72" s="2">
        <v>0.27200000000000002</v>
      </c>
      <c r="D72" s="2">
        <v>0.3</v>
      </c>
      <c r="E72" s="2">
        <v>0.27100000000000002</v>
      </c>
    </row>
    <row r="73" spans="1:5" x14ac:dyDescent="0.25">
      <c r="A73">
        <v>25</v>
      </c>
      <c r="B73">
        <f>AVERAGE(D73:E73)</f>
        <v>0.503</v>
      </c>
      <c r="C73" s="2">
        <v>0.56299999999999994</v>
      </c>
      <c r="D73" s="2">
        <v>0.51100000000000001</v>
      </c>
      <c r="E73" s="2">
        <v>0.495</v>
      </c>
    </row>
    <row r="74" spans="1:5" x14ac:dyDescent="0.25">
      <c r="A74">
        <v>50</v>
      </c>
      <c r="B74">
        <f>AVERAGE(D74:E74)</f>
        <v>0.82899999999999996</v>
      </c>
      <c r="C74" s="2">
        <v>0.879</v>
      </c>
      <c r="D74" s="2">
        <v>0.86599999999999999</v>
      </c>
      <c r="E74" s="2">
        <v>0.79200000000000004</v>
      </c>
    </row>
    <row r="75" spans="1:5" x14ac:dyDescent="0.25">
      <c r="A75">
        <v>100</v>
      </c>
      <c r="B75">
        <f>AVERAGE(C75:D75)</f>
        <v>1.254</v>
      </c>
      <c r="C75" s="2">
        <v>1.2390000000000001</v>
      </c>
      <c r="D75" s="2">
        <v>1.2689999999999999</v>
      </c>
      <c r="E75" s="2">
        <v>1.1160000000000001</v>
      </c>
    </row>
    <row r="76" spans="1:5" x14ac:dyDescent="0.25">
      <c r="A76">
        <v>100</v>
      </c>
      <c r="B76">
        <f>AVERAGE(C76:E76)</f>
        <v>1.4029999999999998</v>
      </c>
      <c r="C76" s="2">
        <v>1.458</v>
      </c>
      <c r="D76" s="2">
        <v>1.39</v>
      </c>
      <c r="E76" s="2">
        <v>1.361</v>
      </c>
    </row>
    <row r="77" spans="1:5" x14ac:dyDescent="0.25">
      <c r="A77">
        <v>100</v>
      </c>
      <c r="B77">
        <f>AVERAGE(C77:E77)</f>
        <v>1.3733333333333333</v>
      </c>
      <c r="C77" s="2">
        <v>1.4159999999999999</v>
      </c>
      <c r="D77" s="2">
        <v>1.21</v>
      </c>
      <c r="E77" s="2">
        <v>1.494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1F43-0EAD-49F1-8AD1-EDC809FC0C5E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0.05</v>
      </c>
      <c r="C2" s="2">
        <v>5.0999999999999997E-2</v>
      </c>
      <c r="D2" s="2">
        <v>5.0999999999999997E-2</v>
      </c>
      <c r="E2" s="2">
        <v>5.7000000000000002E-2</v>
      </c>
      <c r="F2" s="2">
        <v>5.8000000000000003E-2</v>
      </c>
      <c r="G2" s="2">
        <v>6.0999999999999999E-2</v>
      </c>
      <c r="H2" s="2">
        <v>0.20599999999999999</v>
      </c>
      <c r="I2" s="2">
        <v>0.193</v>
      </c>
      <c r="J2" s="2">
        <v>0.192</v>
      </c>
      <c r="K2" s="2">
        <v>0.13200000000000001</v>
      </c>
      <c r="L2" s="2">
        <v>0.14599999999999999</v>
      </c>
      <c r="M2" s="2">
        <v>0.14299999999999999</v>
      </c>
      <c r="N2" s="6">
        <v>670</v>
      </c>
    </row>
    <row r="3" spans="1:14" x14ac:dyDescent="0.25">
      <c r="A3" s="5" t="s">
        <v>13</v>
      </c>
      <c r="B3" s="2">
        <v>0.14299999999999999</v>
      </c>
      <c r="C3" s="2">
        <v>0.14499999999999999</v>
      </c>
      <c r="D3" s="2">
        <v>0.13700000000000001</v>
      </c>
      <c r="E3" s="2">
        <v>8.6999999999999994E-2</v>
      </c>
      <c r="F3" s="2">
        <v>8.7999999999999995E-2</v>
      </c>
      <c r="G3" s="2">
        <v>0.10199999999999999</v>
      </c>
      <c r="H3" s="2">
        <v>9.5000000000000001E-2</v>
      </c>
      <c r="I3" s="2">
        <v>9.8000000000000004E-2</v>
      </c>
      <c r="J3" s="2">
        <v>9.6000000000000002E-2</v>
      </c>
      <c r="K3" s="2">
        <v>0.06</v>
      </c>
      <c r="L3" s="2">
        <v>6.7000000000000004E-2</v>
      </c>
      <c r="M3" s="2">
        <v>6.2E-2</v>
      </c>
      <c r="N3" s="6">
        <v>670</v>
      </c>
    </row>
    <row r="4" spans="1:14" x14ac:dyDescent="0.25">
      <c r="A4" s="5" t="s">
        <v>14</v>
      </c>
      <c r="B4" s="2">
        <v>0.27200000000000002</v>
      </c>
      <c r="C4" s="2">
        <v>0.28100000000000003</v>
      </c>
      <c r="D4" s="2">
        <v>0.28499999999999998</v>
      </c>
      <c r="E4" s="2">
        <v>0.18</v>
      </c>
      <c r="F4" s="2">
        <v>0.186</v>
      </c>
      <c r="G4" s="2">
        <v>0.18099999999999999</v>
      </c>
      <c r="H4" s="2">
        <v>8.8999999999999996E-2</v>
      </c>
      <c r="I4" s="2">
        <v>8.8999999999999996E-2</v>
      </c>
      <c r="J4" s="2">
        <v>0.09</v>
      </c>
      <c r="K4" s="2">
        <v>0.218</v>
      </c>
      <c r="L4" s="2">
        <v>0.20100000000000001</v>
      </c>
      <c r="M4" s="2">
        <v>0.188</v>
      </c>
      <c r="N4" s="6">
        <v>670</v>
      </c>
    </row>
    <row r="5" spans="1:14" x14ac:dyDescent="0.25">
      <c r="A5" s="5" t="s">
        <v>15</v>
      </c>
      <c r="B5" s="2">
        <v>0.48299999999999998</v>
      </c>
      <c r="C5" s="2">
        <v>0.43099999999999999</v>
      </c>
      <c r="D5" s="2">
        <v>0.49199999999999999</v>
      </c>
      <c r="E5" s="2">
        <v>5.8999999999999997E-2</v>
      </c>
      <c r="F5" s="2">
        <v>5.8999999999999997E-2</v>
      </c>
      <c r="G5" s="2">
        <v>5.7000000000000002E-2</v>
      </c>
      <c r="H5" s="2">
        <v>0.11600000000000001</v>
      </c>
      <c r="I5" s="2">
        <v>0.11</v>
      </c>
      <c r="J5" s="2">
        <v>0.112</v>
      </c>
      <c r="K5" s="2">
        <v>0.60499999999999998</v>
      </c>
      <c r="L5" s="2">
        <v>0.65400000000000003</v>
      </c>
      <c r="M5" s="2">
        <v>0.51100000000000001</v>
      </c>
      <c r="N5" s="6">
        <v>670</v>
      </c>
    </row>
    <row r="6" spans="1:14" x14ac:dyDescent="0.25">
      <c r="A6" s="5" t="s">
        <v>16</v>
      </c>
      <c r="B6" s="2">
        <v>0.878</v>
      </c>
      <c r="C6" s="3">
        <v>0.99199999999999999</v>
      </c>
      <c r="D6" s="2">
        <v>0.87</v>
      </c>
      <c r="E6" s="2">
        <v>7.2999999999999995E-2</v>
      </c>
      <c r="F6" s="2">
        <v>7.2999999999999995E-2</v>
      </c>
      <c r="G6" s="2">
        <v>7.2999999999999995E-2</v>
      </c>
      <c r="H6" s="2">
        <v>7.3999999999999996E-2</v>
      </c>
      <c r="I6" s="2">
        <v>7.2999999999999995E-2</v>
      </c>
      <c r="J6" s="2">
        <v>7.3999999999999996E-2</v>
      </c>
      <c r="K6" s="2">
        <v>0.17199999999999999</v>
      </c>
      <c r="L6" s="2">
        <v>0.193</v>
      </c>
      <c r="M6" s="2">
        <v>0.17699999999999999</v>
      </c>
      <c r="N6" s="6">
        <v>670</v>
      </c>
    </row>
    <row r="7" spans="1:14" x14ac:dyDescent="0.25">
      <c r="A7" s="5" t="s">
        <v>17</v>
      </c>
      <c r="B7" s="2">
        <v>1.4510000000000001</v>
      </c>
      <c r="C7" s="2">
        <v>1.417</v>
      </c>
      <c r="D7" s="2">
        <v>1.3859999999999999</v>
      </c>
      <c r="E7" s="2">
        <v>0.30599999999999999</v>
      </c>
      <c r="F7" s="2">
        <v>0.28000000000000003</v>
      </c>
      <c r="G7" s="2">
        <v>0.314</v>
      </c>
      <c r="H7" s="2">
        <v>7.2999999999999995E-2</v>
      </c>
      <c r="I7" s="2">
        <v>7.0000000000000007E-2</v>
      </c>
      <c r="J7" s="2">
        <v>8.6999999999999994E-2</v>
      </c>
      <c r="K7" s="2">
        <v>0.54400000000000004</v>
      </c>
      <c r="L7" s="2">
        <v>0.52800000000000002</v>
      </c>
      <c r="M7" s="2">
        <v>0.499</v>
      </c>
      <c r="N7" s="6">
        <v>670</v>
      </c>
    </row>
    <row r="8" spans="1:14" x14ac:dyDescent="0.25">
      <c r="A8" s="5" t="s">
        <v>18</v>
      </c>
      <c r="B8" s="2">
        <v>1.4510000000000001</v>
      </c>
      <c r="C8" s="2">
        <v>1.373</v>
      </c>
      <c r="D8" s="2">
        <v>1.343</v>
      </c>
      <c r="E8" s="2">
        <v>5.6000000000000001E-2</v>
      </c>
      <c r="F8" s="2">
        <v>5.2999999999999999E-2</v>
      </c>
      <c r="G8" s="2">
        <v>5.3999999999999999E-2</v>
      </c>
      <c r="H8" s="2">
        <v>0.11799999999999999</v>
      </c>
      <c r="I8" s="2">
        <v>0.115</v>
      </c>
      <c r="J8" s="2">
        <v>0.11600000000000001</v>
      </c>
      <c r="K8" s="2">
        <v>2.528</v>
      </c>
      <c r="L8" s="2">
        <v>2.3519999999999999</v>
      </c>
      <c r="M8" s="2">
        <v>2.5259999999999998</v>
      </c>
      <c r="N8" s="6">
        <v>670</v>
      </c>
    </row>
    <row r="9" spans="1:14" x14ac:dyDescent="0.25">
      <c r="A9" s="5" t="s">
        <v>19</v>
      </c>
      <c r="B9" s="2">
        <v>1.482</v>
      </c>
      <c r="C9" s="2">
        <v>1.3819999999999999</v>
      </c>
      <c r="D9" s="2">
        <v>1.272</v>
      </c>
      <c r="E9" s="2">
        <v>7.6999999999999999E-2</v>
      </c>
      <c r="F9" s="2">
        <v>8.1000000000000003E-2</v>
      </c>
      <c r="G9" s="2">
        <v>7.5999999999999998E-2</v>
      </c>
      <c r="H9" s="2">
        <v>0.40300000000000002</v>
      </c>
      <c r="I9" s="2">
        <v>0.43099999999999999</v>
      </c>
      <c r="J9" s="2">
        <v>0.317</v>
      </c>
      <c r="K9" s="2">
        <v>0.06</v>
      </c>
      <c r="L9" s="2">
        <v>0.06</v>
      </c>
      <c r="M9" s="2">
        <v>6.3E-2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30</v>
      </c>
      <c r="F12" s="7" t="s">
        <v>30</v>
      </c>
      <c r="G12" s="7" t="s">
        <v>30</v>
      </c>
      <c r="H12" s="7" t="s">
        <v>38</v>
      </c>
      <c r="I12" s="7" t="s">
        <v>38</v>
      </c>
      <c r="J12" s="7" t="s">
        <v>38</v>
      </c>
      <c r="K12" s="7" t="s">
        <v>46</v>
      </c>
      <c r="L12" s="7" t="s">
        <v>46</v>
      </c>
      <c r="M12" s="7" t="s">
        <v>46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33</v>
      </c>
      <c r="F13" s="7" t="s">
        <v>33</v>
      </c>
      <c r="G13" s="7" t="s">
        <v>33</v>
      </c>
      <c r="H13" s="7" t="s">
        <v>39</v>
      </c>
      <c r="I13" s="7" t="s">
        <v>39</v>
      </c>
      <c r="J13" s="7" t="s">
        <v>39</v>
      </c>
      <c r="K13" s="7" t="s">
        <v>47</v>
      </c>
      <c r="L13" s="7" t="s">
        <v>47</v>
      </c>
      <c r="M13" s="7" t="s">
        <v>47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34</v>
      </c>
      <c r="F14" s="7" t="s">
        <v>34</v>
      </c>
      <c r="G14" s="7" t="s">
        <v>34</v>
      </c>
      <c r="H14" s="7" t="s">
        <v>40</v>
      </c>
      <c r="I14" s="7" t="s">
        <v>40</v>
      </c>
      <c r="J14" s="7" t="s">
        <v>40</v>
      </c>
      <c r="K14" s="7" t="s">
        <v>48</v>
      </c>
      <c r="L14" s="7" t="s">
        <v>48</v>
      </c>
      <c r="M14" s="7" t="s">
        <v>48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31</v>
      </c>
      <c r="F15" s="7" t="s">
        <v>31</v>
      </c>
      <c r="G15" s="7" t="s">
        <v>31</v>
      </c>
      <c r="H15" s="7" t="s">
        <v>41</v>
      </c>
      <c r="I15" s="7" t="s">
        <v>41</v>
      </c>
      <c r="J15" s="7" t="s">
        <v>41</v>
      </c>
      <c r="K15" s="7" t="s">
        <v>49</v>
      </c>
      <c r="L15" s="7" t="s">
        <v>49</v>
      </c>
      <c r="M15" s="7" t="s">
        <v>49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35</v>
      </c>
      <c r="F16" s="7" t="s">
        <v>35</v>
      </c>
      <c r="G16" s="7" t="s">
        <v>35</v>
      </c>
      <c r="H16" s="7" t="s">
        <v>42</v>
      </c>
      <c r="I16" s="7" t="s">
        <v>42</v>
      </c>
      <c r="J16" s="7" t="s">
        <v>42</v>
      </c>
      <c r="K16" s="7" t="s">
        <v>50</v>
      </c>
      <c r="L16" s="7" t="s">
        <v>50</v>
      </c>
      <c r="M16" s="7" t="s">
        <v>50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36</v>
      </c>
      <c r="F17" s="7" t="s">
        <v>36</v>
      </c>
      <c r="G17" s="7" t="s">
        <v>36</v>
      </c>
      <c r="H17" s="7" t="s">
        <v>45</v>
      </c>
      <c r="I17" s="7" t="s">
        <v>45</v>
      </c>
      <c r="J17" s="7" t="s">
        <v>45</v>
      </c>
      <c r="K17" s="7" t="s">
        <v>51</v>
      </c>
      <c r="L17" s="7" t="s">
        <v>51</v>
      </c>
      <c r="M17" s="7" t="s">
        <v>51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32</v>
      </c>
      <c r="F18" s="7" t="s">
        <v>32</v>
      </c>
      <c r="G18" s="7" t="s">
        <v>32</v>
      </c>
      <c r="H18" s="7" t="s">
        <v>43</v>
      </c>
      <c r="I18" s="7" t="s">
        <v>43</v>
      </c>
      <c r="J18" s="7" t="s">
        <v>43</v>
      </c>
      <c r="K18" s="7" t="s">
        <v>52</v>
      </c>
      <c r="L18" s="7" t="s">
        <v>52</v>
      </c>
      <c r="M18" s="7" t="s">
        <v>52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37</v>
      </c>
      <c r="F19" s="7" t="s">
        <v>37</v>
      </c>
      <c r="G19" s="7" t="s">
        <v>37</v>
      </c>
      <c r="H19" s="7" t="s">
        <v>44</v>
      </c>
      <c r="I19" s="7" t="s">
        <v>44</v>
      </c>
      <c r="J19" s="7" t="s">
        <v>44</v>
      </c>
      <c r="K19" s="7" t="s">
        <v>53</v>
      </c>
      <c r="L19" s="7" t="s">
        <v>53</v>
      </c>
      <c r="M19" s="7" t="s">
        <v>53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15F1-F3BC-49DE-8EAD-5B64CAC0FCD2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5.7000000000000002E-2</v>
      </c>
      <c r="C2" s="2">
        <v>5.7000000000000002E-2</v>
      </c>
      <c r="D2" s="2">
        <v>0.05</v>
      </c>
      <c r="E2" s="2">
        <v>0.17499999999999999</v>
      </c>
      <c r="F2" s="2">
        <v>0.16200000000000001</v>
      </c>
      <c r="G2" s="2">
        <v>0.185</v>
      </c>
      <c r="H2" s="2">
        <v>9.5000000000000001E-2</v>
      </c>
      <c r="I2" s="2">
        <v>9.6000000000000002E-2</v>
      </c>
      <c r="J2" s="2">
        <v>0.10199999999999999</v>
      </c>
      <c r="K2" s="2">
        <v>5.0999999999999997E-2</v>
      </c>
      <c r="L2" s="2">
        <v>5.3999999999999999E-2</v>
      </c>
      <c r="M2" s="2">
        <v>5.2999999999999999E-2</v>
      </c>
      <c r="N2" s="6">
        <v>670</v>
      </c>
    </row>
    <row r="3" spans="1:14" x14ac:dyDescent="0.25">
      <c r="A3" s="5" t="s">
        <v>13</v>
      </c>
      <c r="B3" s="2">
        <v>0.125</v>
      </c>
      <c r="C3" s="2">
        <v>0.16700000000000001</v>
      </c>
      <c r="D3" s="2">
        <v>0.14499999999999999</v>
      </c>
      <c r="E3" s="2">
        <v>2.4119999999999999</v>
      </c>
      <c r="F3" s="2">
        <v>2.2639999999999998</v>
      </c>
      <c r="G3" s="2">
        <v>1.9339999999999999</v>
      </c>
      <c r="H3" s="2">
        <v>8.3000000000000004E-2</v>
      </c>
      <c r="I3" s="2">
        <v>8.3000000000000004E-2</v>
      </c>
      <c r="J3" s="2">
        <v>8.7999999999999995E-2</v>
      </c>
      <c r="K3" s="2">
        <v>5.3999999999999999E-2</v>
      </c>
      <c r="L3" s="2">
        <v>5.1999999999999998E-2</v>
      </c>
      <c r="M3" s="2">
        <v>5.2999999999999999E-2</v>
      </c>
      <c r="N3" s="6">
        <v>670</v>
      </c>
    </row>
    <row r="4" spans="1:14" x14ac:dyDescent="0.25">
      <c r="A4" s="5" t="s">
        <v>14</v>
      </c>
      <c r="B4" s="2">
        <v>0.307</v>
      </c>
      <c r="C4" s="2">
        <v>0.35</v>
      </c>
      <c r="D4" s="2">
        <v>0.38400000000000001</v>
      </c>
      <c r="E4" s="2">
        <v>5.8999999999999997E-2</v>
      </c>
      <c r="F4" s="2">
        <v>5.8999999999999997E-2</v>
      </c>
      <c r="G4" s="2">
        <v>6.7000000000000004E-2</v>
      </c>
      <c r="H4" s="2">
        <v>9.7000000000000003E-2</v>
      </c>
      <c r="I4" s="2">
        <v>8.5000000000000006E-2</v>
      </c>
      <c r="J4" s="2">
        <v>8.2000000000000003E-2</v>
      </c>
      <c r="K4" s="2">
        <v>5.5E-2</v>
      </c>
      <c r="L4" s="2">
        <v>5.0999999999999997E-2</v>
      </c>
      <c r="M4" s="2">
        <v>0.05</v>
      </c>
      <c r="N4" s="6">
        <v>670</v>
      </c>
    </row>
    <row r="5" spans="1:14" x14ac:dyDescent="0.25">
      <c r="A5" s="5" t="s">
        <v>15</v>
      </c>
      <c r="B5" s="2">
        <v>0.57099999999999995</v>
      </c>
      <c r="C5" s="2">
        <v>0.51300000000000001</v>
      </c>
      <c r="D5" s="2">
        <v>0.40500000000000003</v>
      </c>
      <c r="E5" s="2">
        <v>6.6000000000000003E-2</v>
      </c>
      <c r="F5" s="2">
        <v>6.8000000000000005E-2</v>
      </c>
      <c r="G5" s="2">
        <v>6.6000000000000003E-2</v>
      </c>
      <c r="H5" s="2">
        <v>0.40699999999999997</v>
      </c>
      <c r="I5" s="2">
        <v>0.41</v>
      </c>
      <c r="J5" s="2">
        <v>0.39300000000000002</v>
      </c>
      <c r="K5" s="2">
        <v>5.3999999999999999E-2</v>
      </c>
      <c r="L5" s="2">
        <v>5.3999999999999999E-2</v>
      </c>
      <c r="M5" s="2">
        <v>6.5000000000000002E-2</v>
      </c>
      <c r="N5" s="6">
        <v>670</v>
      </c>
    </row>
    <row r="6" spans="1:14" x14ac:dyDescent="0.25">
      <c r="A6" s="5" t="s">
        <v>16</v>
      </c>
      <c r="B6" s="2">
        <v>0.83199999999999996</v>
      </c>
      <c r="C6" s="2">
        <v>1.0469999999999999</v>
      </c>
      <c r="D6" s="2">
        <v>0.94299999999999995</v>
      </c>
      <c r="E6" s="2">
        <v>0.94599999999999995</v>
      </c>
      <c r="F6" s="2">
        <v>0.875</v>
      </c>
      <c r="G6" s="2">
        <v>0.88700000000000001</v>
      </c>
      <c r="H6" s="2">
        <v>0.19900000000000001</v>
      </c>
      <c r="I6" s="2">
        <v>0.23699999999999999</v>
      </c>
      <c r="J6" s="2">
        <v>0.21199999999999999</v>
      </c>
      <c r="K6" s="2">
        <v>0.06</v>
      </c>
      <c r="L6" s="2">
        <v>5.8000000000000003E-2</v>
      </c>
      <c r="M6" s="2">
        <v>5.5E-2</v>
      </c>
      <c r="N6" s="6">
        <v>670</v>
      </c>
    </row>
    <row r="7" spans="1:14" x14ac:dyDescent="0.25">
      <c r="A7" s="5" t="s">
        <v>17</v>
      </c>
      <c r="B7" s="2">
        <v>1.1719999999999999</v>
      </c>
      <c r="C7" s="2">
        <v>1.4750000000000001</v>
      </c>
      <c r="D7" s="2">
        <v>1.403</v>
      </c>
      <c r="E7" s="2">
        <v>0.16200000000000001</v>
      </c>
      <c r="F7" s="2">
        <v>0.182</v>
      </c>
      <c r="G7" s="2">
        <v>0.16900000000000001</v>
      </c>
      <c r="H7" s="2">
        <v>0.191</v>
      </c>
      <c r="I7" s="2">
        <v>0.20699999999999999</v>
      </c>
      <c r="J7" s="2">
        <v>0.223</v>
      </c>
      <c r="K7" s="2">
        <v>5.2999999999999999E-2</v>
      </c>
      <c r="L7" s="2">
        <v>5.2999999999999999E-2</v>
      </c>
      <c r="M7" s="2">
        <v>5.1999999999999998E-2</v>
      </c>
      <c r="N7" s="6">
        <v>670</v>
      </c>
    </row>
    <row r="8" spans="1:14" x14ac:dyDescent="0.25">
      <c r="A8" s="5" t="s">
        <v>18</v>
      </c>
      <c r="B8" s="2">
        <v>1.4470000000000001</v>
      </c>
      <c r="C8" s="2">
        <v>1.492</v>
      </c>
      <c r="D8" s="2">
        <v>1.502</v>
      </c>
      <c r="E8" s="2">
        <v>0.16600000000000001</v>
      </c>
      <c r="F8" s="2">
        <v>0.16500000000000001</v>
      </c>
      <c r="G8" s="2">
        <v>0.159</v>
      </c>
      <c r="H8" s="2">
        <v>0.372</v>
      </c>
      <c r="I8" s="2">
        <v>0.39700000000000002</v>
      </c>
      <c r="J8" s="2">
        <v>0.33600000000000002</v>
      </c>
      <c r="K8" s="2">
        <v>6.0999999999999999E-2</v>
      </c>
      <c r="L8" s="2">
        <v>6.2E-2</v>
      </c>
      <c r="M8" s="2">
        <v>5.8999999999999997E-2</v>
      </c>
      <c r="N8" s="6">
        <v>670</v>
      </c>
    </row>
    <row r="9" spans="1:14" x14ac:dyDescent="0.25">
      <c r="A9" s="5" t="s">
        <v>19</v>
      </c>
      <c r="B9" s="2">
        <v>1.266</v>
      </c>
      <c r="C9" s="2">
        <v>1.256</v>
      </c>
      <c r="D9" s="2">
        <v>1.218</v>
      </c>
      <c r="E9" s="2">
        <v>0.161</v>
      </c>
      <c r="F9" s="2">
        <v>0.17199999999999999</v>
      </c>
      <c r="G9" s="2">
        <v>0.155</v>
      </c>
      <c r="H9" s="2">
        <v>0.71599999999999997</v>
      </c>
      <c r="I9" s="2">
        <v>0.63600000000000001</v>
      </c>
      <c r="J9" s="2">
        <v>0.64</v>
      </c>
      <c r="K9" s="2">
        <v>8.3000000000000004E-2</v>
      </c>
      <c r="L9" s="2">
        <v>8.3000000000000004E-2</v>
      </c>
      <c r="M9" s="2">
        <v>8.4000000000000005E-2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54</v>
      </c>
      <c r="F12" s="7" t="s">
        <v>54</v>
      </c>
      <c r="G12" s="7" t="s">
        <v>54</v>
      </c>
      <c r="H12" s="7" t="s">
        <v>62</v>
      </c>
      <c r="I12" s="7" t="s">
        <v>62</v>
      </c>
      <c r="J12" s="7" t="s">
        <v>62</v>
      </c>
      <c r="K12" s="7" t="s">
        <v>70</v>
      </c>
      <c r="L12" s="7" t="s">
        <v>70</v>
      </c>
      <c r="M12" s="7" t="s">
        <v>70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55</v>
      </c>
      <c r="F13" s="7" t="s">
        <v>55</v>
      </c>
      <c r="G13" s="7" t="s">
        <v>55</v>
      </c>
      <c r="H13" s="7" t="s">
        <v>64</v>
      </c>
      <c r="I13" s="7" t="s">
        <v>64</v>
      </c>
      <c r="J13" s="7" t="s">
        <v>64</v>
      </c>
      <c r="K13" s="7" t="s">
        <v>71</v>
      </c>
      <c r="L13" s="7" t="s">
        <v>71</v>
      </c>
      <c r="M13" s="7" t="s">
        <v>71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56</v>
      </c>
      <c r="F14" s="7" t="s">
        <v>56</v>
      </c>
      <c r="G14" s="7" t="s">
        <v>56</v>
      </c>
      <c r="H14" s="7" t="s">
        <v>65</v>
      </c>
      <c r="I14" s="7" t="s">
        <v>65</v>
      </c>
      <c r="J14" s="7" t="s">
        <v>65</v>
      </c>
      <c r="K14" s="7" t="s">
        <v>72</v>
      </c>
      <c r="L14" s="7" t="s">
        <v>72</v>
      </c>
      <c r="M14" s="7" t="s">
        <v>72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57</v>
      </c>
      <c r="F15" s="7" t="s">
        <v>57</v>
      </c>
      <c r="G15" s="7" t="s">
        <v>57</v>
      </c>
      <c r="H15" s="7" t="s">
        <v>63</v>
      </c>
      <c r="I15" s="7" t="s">
        <v>63</v>
      </c>
      <c r="J15" s="7" t="s">
        <v>63</v>
      </c>
      <c r="K15" s="7" t="s">
        <v>73</v>
      </c>
      <c r="L15" s="7" t="s">
        <v>73</v>
      </c>
      <c r="M15" s="7" t="s">
        <v>73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58</v>
      </c>
      <c r="F16" s="7" t="s">
        <v>58</v>
      </c>
      <c r="G16" s="7" t="s">
        <v>58</v>
      </c>
      <c r="H16" s="7" t="s">
        <v>66</v>
      </c>
      <c r="I16" s="7" t="s">
        <v>66</v>
      </c>
      <c r="J16" s="7" t="s">
        <v>66</v>
      </c>
      <c r="K16" s="7" t="s">
        <v>74</v>
      </c>
      <c r="L16" s="7" t="s">
        <v>74</v>
      </c>
      <c r="M16" s="7" t="s">
        <v>74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59</v>
      </c>
      <c r="F17" s="7" t="s">
        <v>59</v>
      </c>
      <c r="G17" s="7" t="s">
        <v>59</v>
      </c>
      <c r="H17" s="7" t="s">
        <v>67</v>
      </c>
      <c r="I17" s="7" t="s">
        <v>67</v>
      </c>
      <c r="J17" s="7" t="s">
        <v>67</v>
      </c>
      <c r="K17" s="7" t="s">
        <v>75</v>
      </c>
      <c r="L17" s="7" t="s">
        <v>75</v>
      </c>
      <c r="M17" s="7" t="s">
        <v>75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60</v>
      </c>
      <c r="F18" s="7" t="s">
        <v>60</v>
      </c>
      <c r="G18" s="7" t="s">
        <v>60</v>
      </c>
      <c r="H18" s="7" t="s">
        <v>68</v>
      </c>
      <c r="I18" s="7" t="s">
        <v>68</v>
      </c>
      <c r="J18" s="7" t="s">
        <v>68</v>
      </c>
      <c r="K18" s="7" t="s">
        <v>76</v>
      </c>
      <c r="L18" s="7" t="s">
        <v>76</v>
      </c>
      <c r="M18" s="7" t="s">
        <v>76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61</v>
      </c>
      <c r="F19" s="7" t="s">
        <v>61</v>
      </c>
      <c r="G19" s="7" t="s">
        <v>61</v>
      </c>
      <c r="H19" s="7" t="s">
        <v>69</v>
      </c>
      <c r="I19" s="7" t="s">
        <v>69</v>
      </c>
      <c r="J19" s="7" t="s">
        <v>69</v>
      </c>
      <c r="K19" s="7" t="s">
        <v>77</v>
      </c>
      <c r="L19" s="7" t="s">
        <v>77</v>
      </c>
      <c r="M19" s="7" t="s">
        <v>77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B3B8-1D4E-44A6-AB51-25CB09469C6C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4.5999999999999999E-2</v>
      </c>
      <c r="C2" s="2">
        <v>4.8000000000000001E-2</v>
      </c>
      <c r="D2" s="2">
        <v>4.8000000000000001E-2</v>
      </c>
      <c r="E2" s="2">
        <v>0.23699999999999999</v>
      </c>
      <c r="F2" s="2">
        <v>0.217</v>
      </c>
      <c r="G2" s="2">
        <v>0.19800000000000001</v>
      </c>
      <c r="H2" s="2">
        <v>0.40699999999999997</v>
      </c>
      <c r="I2" s="2">
        <v>0.45100000000000001</v>
      </c>
      <c r="J2" s="2">
        <v>0.41199999999999998</v>
      </c>
      <c r="K2" s="2">
        <v>6.5000000000000002E-2</v>
      </c>
      <c r="L2" s="2">
        <v>6.4000000000000001E-2</v>
      </c>
      <c r="M2" s="2">
        <v>6.5000000000000002E-2</v>
      </c>
      <c r="N2" s="6">
        <v>670</v>
      </c>
    </row>
    <row r="3" spans="1:14" x14ac:dyDescent="0.25">
      <c r="A3" s="5" t="s">
        <v>13</v>
      </c>
      <c r="B3" s="2">
        <v>0.13300000000000001</v>
      </c>
      <c r="C3" s="2">
        <v>0.13200000000000001</v>
      </c>
      <c r="D3" s="2">
        <v>0.14699999999999999</v>
      </c>
      <c r="E3" s="2">
        <v>7.1999999999999995E-2</v>
      </c>
      <c r="F3" s="2">
        <v>7.1999999999999995E-2</v>
      </c>
      <c r="G3" s="2">
        <v>7.0999999999999994E-2</v>
      </c>
      <c r="H3" s="2">
        <v>0.115</v>
      </c>
      <c r="I3" s="2">
        <v>0.111</v>
      </c>
      <c r="J3" s="2">
        <v>0.105</v>
      </c>
      <c r="K3" s="2">
        <v>7.3999999999999996E-2</v>
      </c>
      <c r="L3" s="2">
        <v>7.2999999999999995E-2</v>
      </c>
      <c r="M3" s="2">
        <v>7.2999999999999995E-2</v>
      </c>
      <c r="N3" s="6">
        <v>670</v>
      </c>
    </row>
    <row r="4" spans="1:14" x14ac:dyDescent="0.25">
      <c r="A4" s="5" t="s">
        <v>14</v>
      </c>
      <c r="B4" s="2">
        <v>0.39100000000000001</v>
      </c>
      <c r="C4" s="2">
        <v>0.27500000000000002</v>
      </c>
      <c r="D4" s="2">
        <v>0.28499999999999998</v>
      </c>
      <c r="E4" s="2">
        <v>6.5000000000000002E-2</v>
      </c>
      <c r="F4" s="2">
        <v>0.06</v>
      </c>
      <c r="G4" s="2">
        <v>6.3E-2</v>
      </c>
      <c r="H4" s="2">
        <v>1.546</v>
      </c>
      <c r="I4" s="2">
        <v>1.3740000000000001</v>
      </c>
      <c r="J4" s="2">
        <v>1.133</v>
      </c>
      <c r="K4" s="2">
        <v>8.2000000000000003E-2</v>
      </c>
      <c r="L4" s="2">
        <v>7.3999999999999996E-2</v>
      </c>
      <c r="M4" s="2">
        <v>7.3999999999999996E-2</v>
      </c>
      <c r="N4" s="6">
        <v>670</v>
      </c>
    </row>
    <row r="5" spans="1:14" x14ac:dyDescent="0.25">
      <c r="A5" s="5" t="s">
        <v>15</v>
      </c>
      <c r="B5" s="2">
        <v>0.503</v>
      </c>
      <c r="C5" s="2">
        <v>0.65600000000000003</v>
      </c>
      <c r="D5" s="2">
        <v>0.45700000000000002</v>
      </c>
      <c r="E5" s="2">
        <v>1.47</v>
      </c>
      <c r="F5" s="2">
        <v>1.1060000000000001</v>
      </c>
      <c r="G5" s="2">
        <v>1.3140000000000001</v>
      </c>
      <c r="H5" s="2">
        <v>6.6000000000000003E-2</v>
      </c>
      <c r="I5" s="2">
        <v>6.3E-2</v>
      </c>
      <c r="J5" s="2">
        <v>6.3E-2</v>
      </c>
      <c r="K5" s="2">
        <v>6.6000000000000003E-2</v>
      </c>
      <c r="L5" s="2">
        <v>7.0000000000000007E-2</v>
      </c>
      <c r="M5" s="2">
        <v>6.5000000000000002E-2</v>
      </c>
      <c r="N5" s="6">
        <v>670</v>
      </c>
    </row>
    <row r="6" spans="1:14" x14ac:dyDescent="0.25">
      <c r="A6" s="5" t="s">
        <v>16</v>
      </c>
      <c r="B6" s="2">
        <v>0.86599999999999999</v>
      </c>
      <c r="C6" s="2">
        <v>0.91800000000000004</v>
      </c>
      <c r="D6" s="2">
        <v>1.07</v>
      </c>
      <c r="E6" s="2">
        <v>0.17399999999999999</v>
      </c>
      <c r="F6" s="2">
        <v>0.16500000000000001</v>
      </c>
      <c r="G6" s="2">
        <v>0.17499999999999999</v>
      </c>
      <c r="H6" s="2">
        <v>8.5000000000000006E-2</v>
      </c>
      <c r="I6" s="2">
        <v>8.6999999999999994E-2</v>
      </c>
      <c r="J6" s="2">
        <v>7.6999999999999999E-2</v>
      </c>
      <c r="K6" s="2">
        <v>8.1000000000000003E-2</v>
      </c>
      <c r="L6" s="2">
        <v>8.1000000000000003E-2</v>
      </c>
      <c r="M6" s="2">
        <v>7.8E-2</v>
      </c>
      <c r="N6" s="6">
        <v>670</v>
      </c>
    </row>
    <row r="7" spans="1:14" x14ac:dyDescent="0.25">
      <c r="A7" s="5" t="s">
        <v>17</v>
      </c>
      <c r="B7" s="2">
        <v>1.53</v>
      </c>
      <c r="C7" s="2">
        <v>1.407</v>
      </c>
      <c r="D7" s="2">
        <v>1.341</v>
      </c>
      <c r="E7" s="2">
        <v>6.0999999999999999E-2</v>
      </c>
      <c r="F7" s="2">
        <v>6.0999999999999999E-2</v>
      </c>
      <c r="G7" s="2">
        <v>6.5000000000000002E-2</v>
      </c>
      <c r="H7" s="2">
        <v>8.2000000000000003E-2</v>
      </c>
      <c r="I7" s="2">
        <v>8.2000000000000003E-2</v>
      </c>
      <c r="J7" s="2">
        <v>7.8E-2</v>
      </c>
      <c r="K7" s="2">
        <v>8.1000000000000003E-2</v>
      </c>
      <c r="L7" s="2">
        <v>7.9000000000000001E-2</v>
      </c>
      <c r="M7" s="2">
        <v>8.5999999999999993E-2</v>
      </c>
      <c r="N7" s="6">
        <v>670</v>
      </c>
    </row>
    <row r="8" spans="1:14" x14ac:dyDescent="0.25">
      <c r="A8" s="5" t="s">
        <v>18</v>
      </c>
      <c r="B8" s="2">
        <v>1.5369999999999999</v>
      </c>
      <c r="C8" s="2">
        <v>1.472</v>
      </c>
      <c r="D8" s="2">
        <v>1.4570000000000001</v>
      </c>
      <c r="E8" s="2">
        <v>0.26500000000000001</v>
      </c>
      <c r="F8" s="2">
        <v>0.26100000000000001</v>
      </c>
      <c r="G8" s="2">
        <v>0.248</v>
      </c>
      <c r="H8" s="2">
        <v>7.6999999999999999E-2</v>
      </c>
      <c r="I8" s="2">
        <v>7.5999999999999998E-2</v>
      </c>
      <c r="J8" s="2">
        <v>7.5999999999999998E-2</v>
      </c>
      <c r="K8" s="2">
        <v>5.2999999999999999E-2</v>
      </c>
      <c r="L8" s="2">
        <v>6.2E-2</v>
      </c>
      <c r="M8" s="2">
        <v>5.1999999999999998E-2</v>
      </c>
      <c r="N8" s="6">
        <v>670</v>
      </c>
    </row>
    <row r="9" spans="1:14" x14ac:dyDescent="0.25">
      <c r="A9" s="5" t="s">
        <v>19</v>
      </c>
      <c r="B9" s="2">
        <v>1.448</v>
      </c>
      <c r="C9" s="2">
        <v>1.49</v>
      </c>
      <c r="D9" s="2">
        <v>1.452</v>
      </c>
      <c r="E9" s="2">
        <v>2.7469999999999999</v>
      </c>
      <c r="F9" s="2">
        <v>2.8519999999999999</v>
      </c>
      <c r="G9" s="2">
        <v>2.536</v>
      </c>
      <c r="H9" s="2">
        <v>0.29199999999999998</v>
      </c>
      <c r="I9" s="2">
        <v>0.24199999999999999</v>
      </c>
      <c r="J9" s="2">
        <v>0.307</v>
      </c>
      <c r="K9" s="2">
        <v>5.5E-2</v>
      </c>
      <c r="L9" s="2">
        <v>6.6000000000000003E-2</v>
      </c>
      <c r="M9" s="2">
        <v>6.4000000000000001E-2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78</v>
      </c>
      <c r="F12" s="7" t="s">
        <v>78</v>
      </c>
      <c r="G12" s="7" t="s">
        <v>78</v>
      </c>
      <c r="H12" s="7" t="s">
        <v>86</v>
      </c>
      <c r="I12" s="7" t="s">
        <v>86</v>
      </c>
      <c r="J12" s="7" t="s">
        <v>86</v>
      </c>
      <c r="K12" s="7" t="s">
        <v>94</v>
      </c>
      <c r="L12" s="7" t="s">
        <v>94</v>
      </c>
      <c r="M12" s="7" t="s">
        <v>94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79</v>
      </c>
      <c r="F13" s="7" t="s">
        <v>79</v>
      </c>
      <c r="G13" s="7" t="s">
        <v>79</v>
      </c>
      <c r="H13" s="7" t="s">
        <v>87</v>
      </c>
      <c r="I13" s="7" t="s">
        <v>87</v>
      </c>
      <c r="J13" s="7" t="s">
        <v>87</v>
      </c>
      <c r="K13" s="7" t="s">
        <v>95</v>
      </c>
      <c r="L13" s="7" t="s">
        <v>95</v>
      </c>
      <c r="M13" s="7" t="s">
        <v>95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80</v>
      </c>
      <c r="F14" s="7" t="s">
        <v>80</v>
      </c>
      <c r="G14" s="7" t="s">
        <v>80</v>
      </c>
      <c r="H14" s="7" t="s">
        <v>88</v>
      </c>
      <c r="I14" s="7" t="s">
        <v>88</v>
      </c>
      <c r="J14" s="7" t="s">
        <v>88</v>
      </c>
      <c r="K14" s="7" t="s">
        <v>97</v>
      </c>
      <c r="L14" s="7" t="s">
        <v>97</v>
      </c>
      <c r="M14" s="7" t="s">
        <v>97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81</v>
      </c>
      <c r="F15" s="7" t="s">
        <v>81</v>
      </c>
      <c r="G15" s="7" t="s">
        <v>81</v>
      </c>
      <c r="H15" s="7" t="s">
        <v>89</v>
      </c>
      <c r="I15" s="7" t="s">
        <v>89</v>
      </c>
      <c r="J15" s="7" t="s">
        <v>89</v>
      </c>
      <c r="K15" s="7" t="s">
        <v>98</v>
      </c>
      <c r="L15" s="7" t="s">
        <v>98</v>
      </c>
      <c r="M15" s="7" t="s">
        <v>98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82</v>
      </c>
      <c r="F16" s="7" t="s">
        <v>82</v>
      </c>
      <c r="G16" s="7" t="s">
        <v>82</v>
      </c>
      <c r="H16" s="7" t="s">
        <v>90</v>
      </c>
      <c r="I16" s="7" t="s">
        <v>90</v>
      </c>
      <c r="J16" s="7" t="s">
        <v>90</v>
      </c>
      <c r="K16" s="7" t="s">
        <v>99</v>
      </c>
      <c r="L16" s="7" t="s">
        <v>99</v>
      </c>
      <c r="M16" s="7" t="s">
        <v>99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83</v>
      </c>
      <c r="F17" s="7" t="s">
        <v>83</v>
      </c>
      <c r="G17" s="7" t="s">
        <v>83</v>
      </c>
      <c r="H17" s="7" t="s">
        <v>91</v>
      </c>
      <c r="I17" s="7" t="s">
        <v>91</v>
      </c>
      <c r="J17" s="7" t="s">
        <v>91</v>
      </c>
      <c r="K17" s="7" t="s">
        <v>96</v>
      </c>
      <c r="L17" s="7" t="s">
        <v>96</v>
      </c>
      <c r="M17" s="7" t="s">
        <v>96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84</v>
      </c>
      <c r="F18" s="7" t="s">
        <v>84</v>
      </c>
      <c r="G18" s="7" t="s">
        <v>84</v>
      </c>
      <c r="H18" s="7" t="s">
        <v>92</v>
      </c>
      <c r="I18" s="7" t="s">
        <v>92</v>
      </c>
      <c r="J18" s="7" t="s">
        <v>92</v>
      </c>
      <c r="K18" s="7" t="s">
        <v>100</v>
      </c>
      <c r="L18" s="7" t="s">
        <v>100</v>
      </c>
      <c r="M18" s="7" t="s">
        <v>100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85</v>
      </c>
      <c r="F19" s="7" t="s">
        <v>85</v>
      </c>
      <c r="G19" s="7" t="s">
        <v>85</v>
      </c>
      <c r="H19" s="7" t="s">
        <v>93</v>
      </c>
      <c r="I19" s="7" t="s">
        <v>93</v>
      </c>
      <c r="J19" s="7" t="s">
        <v>93</v>
      </c>
      <c r="K19" s="7" t="s">
        <v>101</v>
      </c>
      <c r="L19" s="7" t="s">
        <v>101</v>
      </c>
      <c r="M19" s="7" t="s">
        <v>101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FA46-F5B4-478D-8B56-AD344D270F20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4.8000000000000001E-2</v>
      </c>
      <c r="C2" s="2">
        <v>4.8000000000000001E-2</v>
      </c>
      <c r="D2" s="2">
        <v>4.9000000000000002E-2</v>
      </c>
      <c r="E2" s="2">
        <v>5.6000000000000001E-2</v>
      </c>
      <c r="F2" s="2">
        <v>5.1999999999999998E-2</v>
      </c>
      <c r="G2" s="2">
        <v>5.3999999999999999E-2</v>
      </c>
      <c r="H2" s="2">
        <v>0.104</v>
      </c>
      <c r="I2" s="2">
        <v>8.8999999999999996E-2</v>
      </c>
      <c r="J2" s="2">
        <v>9.7000000000000003E-2</v>
      </c>
      <c r="K2" s="2">
        <v>0.27</v>
      </c>
      <c r="L2" s="2">
        <v>0.27100000000000002</v>
      </c>
      <c r="M2" s="2">
        <v>0.25</v>
      </c>
      <c r="N2" s="6">
        <v>670</v>
      </c>
    </row>
    <row r="3" spans="1:14" x14ac:dyDescent="0.25">
      <c r="A3" s="5" t="s">
        <v>13</v>
      </c>
      <c r="B3" s="2">
        <v>0.151</v>
      </c>
      <c r="C3" s="2">
        <v>0.13300000000000001</v>
      </c>
      <c r="D3" s="2">
        <v>0.122</v>
      </c>
      <c r="E3" s="2">
        <v>4.9000000000000002E-2</v>
      </c>
      <c r="F3" s="2">
        <v>5.3999999999999999E-2</v>
      </c>
      <c r="G3" s="2">
        <v>5.0999999999999997E-2</v>
      </c>
      <c r="H3" s="2">
        <v>5.3999999999999999E-2</v>
      </c>
      <c r="I3" s="2">
        <v>5.5E-2</v>
      </c>
      <c r="J3" s="2">
        <v>5.2999999999999999E-2</v>
      </c>
      <c r="K3" s="2">
        <v>0.13100000000000001</v>
      </c>
      <c r="L3" s="2">
        <v>0.14799999999999999</v>
      </c>
      <c r="M3" s="2">
        <v>0.159</v>
      </c>
      <c r="N3" s="6">
        <v>670</v>
      </c>
    </row>
    <row r="4" spans="1:14" x14ac:dyDescent="0.25">
      <c r="A4" s="5" t="s">
        <v>14</v>
      </c>
      <c r="B4" s="2">
        <v>0.26</v>
      </c>
      <c r="C4" s="2">
        <v>0.28100000000000003</v>
      </c>
      <c r="D4" s="2">
        <v>0.29099999999999998</v>
      </c>
      <c r="E4" s="2">
        <v>5.2999999999999999E-2</v>
      </c>
      <c r="F4" s="2">
        <v>5.3999999999999999E-2</v>
      </c>
      <c r="G4" s="2">
        <v>5.2999999999999999E-2</v>
      </c>
      <c r="H4" s="2">
        <v>0.107</v>
      </c>
      <c r="I4" s="2">
        <v>0.104</v>
      </c>
      <c r="J4" s="2">
        <v>0.107</v>
      </c>
      <c r="K4" s="2">
        <v>2.7810000000000001</v>
      </c>
      <c r="L4" s="2">
        <v>2.8420000000000001</v>
      </c>
      <c r="M4" s="2">
        <v>2.738</v>
      </c>
      <c r="N4" s="6">
        <v>670</v>
      </c>
    </row>
    <row r="5" spans="1:14" x14ac:dyDescent="0.25">
      <c r="A5" s="5" t="s">
        <v>15</v>
      </c>
      <c r="B5" s="2">
        <v>0.48099999999999998</v>
      </c>
      <c r="C5" s="2">
        <v>0.51700000000000002</v>
      </c>
      <c r="D5" s="2">
        <v>0.499</v>
      </c>
      <c r="E5" s="2">
        <v>5.8999999999999997E-2</v>
      </c>
      <c r="F5" s="2">
        <v>5.8000000000000003E-2</v>
      </c>
      <c r="G5" s="2">
        <v>5.6000000000000001E-2</v>
      </c>
      <c r="H5" s="2">
        <v>0.35</v>
      </c>
      <c r="I5" s="2">
        <v>0.34</v>
      </c>
      <c r="J5" s="2">
        <v>0.33800000000000002</v>
      </c>
      <c r="K5" s="2">
        <v>2.8290000000000002</v>
      </c>
      <c r="L5" s="2">
        <v>2.7229999999999999</v>
      </c>
      <c r="M5" s="2">
        <v>2.7890000000000001</v>
      </c>
      <c r="N5" s="6">
        <v>670</v>
      </c>
    </row>
    <row r="6" spans="1:14" x14ac:dyDescent="0.25">
      <c r="A6" s="5" t="s">
        <v>16</v>
      </c>
      <c r="B6" s="2">
        <v>0.90800000000000003</v>
      </c>
      <c r="C6" s="2">
        <v>0.88100000000000001</v>
      </c>
      <c r="D6" s="2">
        <v>0.84199999999999997</v>
      </c>
      <c r="E6" s="2">
        <v>5.2999999999999999E-2</v>
      </c>
      <c r="F6" s="2">
        <v>5.2999999999999999E-2</v>
      </c>
      <c r="G6" s="2">
        <v>5.2999999999999999E-2</v>
      </c>
      <c r="H6" s="2">
        <v>5.6000000000000001E-2</v>
      </c>
      <c r="I6" s="2">
        <v>5.8000000000000003E-2</v>
      </c>
      <c r="J6" s="2">
        <v>5.7000000000000002E-2</v>
      </c>
      <c r="K6" s="2">
        <v>0.11899999999999999</v>
      </c>
      <c r="L6" s="2">
        <v>0.108</v>
      </c>
      <c r="M6" s="2">
        <v>0.108</v>
      </c>
      <c r="N6" s="6">
        <v>670</v>
      </c>
    </row>
    <row r="7" spans="1:14" x14ac:dyDescent="0.25">
      <c r="A7" s="5" t="s">
        <v>17</v>
      </c>
      <c r="B7" s="2">
        <v>1.5289999999999999</v>
      </c>
      <c r="C7" s="2">
        <v>1.5209999999999999</v>
      </c>
      <c r="D7" s="2">
        <v>1.371</v>
      </c>
      <c r="E7" s="2">
        <v>5.1999999999999998E-2</v>
      </c>
      <c r="F7" s="2">
        <v>5.2999999999999999E-2</v>
      </c>
      <c r="G7" s="2">
        <v>5.1999999999999998E-2</v>
      </c>
      <c r="H7" s="2">
        <v>6.4000000000000001E-2</v>
      </c>
      <c r="I7" s="2">
        <v>5.8000000000000003E-2</v>
      </c>
      <c r="J7" s="2">
        <v>5.8000000000000003E-2</v>
      </c>
      <c r="K7" s="2">
        <v>2.8130000000000002</v>
      </c>
      <c r="L7" s="2">
        <v>2.6419999999999999</v>
      </c>
      <c r="M7" s="2">
        <v>2.7610000000000001</v>
      </c>
      <c r="N7" s="6">
        <v>670</v>
      </c>
    </row>
    <row r="8" spans="1:14" x14ac:dyDescent="0.25">
      <c r="A8" s="5" t="s">
        <v>18</v>
      </c>
      <c r="B8" s="2">
        <v>1.55</v>
      </c>
      <c r="C8" s="2">
        <v>1.508</v>
      </c>
      <c r="D8" s="2">
        <v>1.4910000000000001</v>
      </c>
      <c r="E8" s="2">
        <v>5.7000000000000002E-2</v>
      </c>
      <c r="F8" s="2">
        <v>5.8000000000000003E-2</v>
      </c>
      <c r="G8" s="2">
        <v>5.7000000000000002E-2</v>
      </c>
      <c r="H8" s="2">
        <v>8.8999999999999996E-2</v>
      </c>
      <c r="I8" s="2">
        <v>8.7999999999999995E-2</v>
      </c>
      <c r="J8" s="2">
        <v>8.6999999999999994E-2</v>
      </c>
      <c r="K8" s="2">
        <v>2.8</v>
      </c>
      <c r="L8" s="2">
        <v>2.875</v>
      </c>
      <c r="M8" s="2">
        <v>2.54</v>
      </c>
      <c r="N8" s="6">
        <v>670</v>
      </c>
    </row>
    <row r="9" spans="1:14" x14ac:dyDescent="0.25">
      <c r="A9" s="5" t="s">
        <v>19</v>
      </c>
      <c r="B9" s="2">
        <v>1.569</v>
      </c>
      <c r="C9" s="2">
        <v>1.3520000000000001</v>
      </c>
      <c r="D9" s="2">
        <v>1.4970000000000001</v>
      </c>
      <c r="E9" s="2">
        <v>7.4999999999999997E-2</v>
      </c>
      <c r="F9" s="2">
        <v>7.9000000000000001E-2</v>
      </c>
      <c r="G9" s="2">
        <v>7.6999999999999999E-2</v>
      </c>
      <c r="H9" s="2">
        <v>0.26</v>
      </c>
      <c r="I9" s="2">
        <v>0.26300000000000001</v>
      </c>
      <c r="J9" s="2">
        <v>0.29299999999999998</v>
      </c>
      <c r="K9" s="2">
        <v>0.19400000000000001</v>
      </c>
      <c r="L9" s="2">
        <v>0.16700000000000001</v>
      </c>
      <c r="M9" s="2">
        <v>0.17299999999999999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100</v>
      </c>
      <c r="F12" s="7"/>
      <c r="G12" s="7"/>
      <c r="H12" s="7" t="s">
        <v>109</v>
      </c>
      <c r="I12" s="7"/>
      <c r="J12" s="7"/>
      <c r="K12" s="7" t="s">
        <v>111</v>
      </c>
      <c r="L12" s="7"/>
      <c r="M12" s="7"/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102</v>
      </c>
      <c r="F13" s="7"/>
      <c r="G13" s="7"/>
      <c r="H13" s="7" t="s">
        <v>112</v>
      </c>
      <c r="I13" s="7"/>
      <c r="J13" s="7"/>
      <c r="K13" s="7" t="s">
        <v>118</v>
      </c>
      <c r="L13" s="7"/>
      <c r="M13" s="7"/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103</v>
      </c>
      <c r="F14" s="7"/>
      <c r="G14" s="7"/>
      <c r="H14" s="7" t="s">
        <v>113</v>
      </c>
      <c r="I14" s="7"/>
      <c r="J14" s="7"/>
      <c r="K14" s="7" t="s">
        <v>123</v>
      </c>
      <c r="L14" s="7"/>
      <c r="M14" s="7"/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104</v>
      </c>
      <c r="F15" s="7"/>
      <c r="G15" s="7"/>
      <c r="H15" s="7" t="s">
        <v>110</v>
      </c>
      <c r="I15" s="7"/>
      <c r="J15" s="7"/>
      <c r="K15" s="7" t="s">
        <v>124</v>
      </c>
      <c r="L15" s="7"/>
      <c r="M15" s="7"/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105</v>
      </c>
      <c r="F16" s="7"/>
      <c r="G16" s="7"/>
      <c r="H16" s="7" t="s">
        <v>114</v>
      </c>
      <c r="I16" s="7"/>
      <c r="J16" s="7"/>
      <c r="K16" s="7" t="s">
        <v>119</v>
      </c>
      <c r="L16" s="7"/>
      <c r="M16" s="7"/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106</v>
      </c>
      <c r="F17" s="7"/>
      <c r="G17" s="7"/>
      <c r="H17" s="7" t="s">
        <v>115</v>
      </c>
      <c r="I17" s="7"/>
      <c r="J17" s="7"/>
      <c r="K17" s="7" t="s">
        <v>125</v>
      </c>
      <c r="L17" s="7"/>
      <c r="M17" s="7"/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107</v>
      </c>
      <c r="F18" s="7"/>
      <c r="G18" s="7"/>
      <c r="H18" s="7" t="s">
        <v>116</v>
      </c>
      <c r="I18" s="7"/>
      <c r="J18" s="7"/>
      <c r="K18" s="7" t="s">
        <v>126</v>
      </c>
      <c r="L18" s="7"/>
      <c r="M18" s="7"/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108</v>
      </c>
      <c r="F19" s="7"/>
      <c r="G19" s="7"/>
      <c r="H19" s="7" t="s">
        <v>117</v>
      </c>
      <c r="I19" s="7"/>
      <c r="J19" s="7"/>
      <c r="K19" s="7" t="s">
        <v>122</v>
      </c>
      <c r="L19" s="7"/>
      <c r="M19" s="7"/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F8EF-1DE6-491D-849E-E8D0BB7A9B56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0.05</v>
      </c>
      <c r="C2" s="2">
        <v>4.2999999999999997E-2</v>
      </c>
      <c r="D2" s="2">
        <v>5.0999999999999997E-2</v>
      </c>
      <c r="E2" s="2">
        <v>2.6080000000000001</v>
      </c>
      <c r="F2" s="2">
        <v>2.7</v>
      </c>
      <c r="G2" s="2">
        <v>2.6829999999999998</v>
      </c>
      <c r="H2" s="2">
        <v>5.6000000000000001E-2</v>
      </c>
      <c r="I2" s="2">
        <v>5.2999999999999999E-2</v>
      </c>
      <c r="J2" s="2">
        <v>5.1999999999999998E-2</v>
      </c>
      <c r="K2" s="2">
        <v>5.8000000000000003E-2</v>
      </c>
      <c r="L2" s="2">
        <v>0.06</v>
      </c>
      <c r="M2" s="2">
        <v>5.5E-2</v>
      </c>
      <c r="N2" s="6">
        <v>670</v>
      </c>
    </row>
    <row r="3" spans="1:14" x14ac:dyDescent="0.25">
      <c r="A3" s="5" t="s">
        <v>13</v>
      </c>
      <c r="B3" s="2">
        <v>0.14899999999999999</v>
      </c>
      <c r="C3" s="2">
        <v>0.16700000000000001</v>
      </c>
      <c r="D3" s="2">
        <v>0.14499999999999999</v>
      </c>
      <c r="E3" s="2">
        <v>2.6549999999999998</v>
      </c>
      <c r="F3" s="2">
        <v>2.6859999999999999</v>
      </c>
      <c r="G3" s="2">
        <v>2.6520000000000001</v>
      </c>
      <c r="H3" s="2">
        <v>5.5E-2</v>
      </c>
      <c r="I3" s="2">
        <v>5.5E-2</v>
      </c>
      <c r="J3" s="2">
        <v>7.1999999999999995E-2</v>
      </c>
      <c r="K3" s="2">
        <v>0.08</v>
      </c>
      <c r="L3" s="2">
        <v>7.9000000000000001E-2</v>
      </c>
      <c r="M3" s="2">
        <v>7.6999999999999999E-2</v>
      </c>
      <c r="N3" s="6">
        <v>670</v>
      </c>
    </row>
    <row r="4" spans="1:14" x14ac:dyDescent="0.25">
      <c r="A4" s="5" t="s">
        <v>14</v>
      </c>
      <c r="B4" s="2">
        <v>0.26</v>
      </c>
      <c r="C4" s="2">
        <v>0.34300000000000003</v>
      </c>
      <c r="D4" s="2">
        <v>0.26400000000000001</v>
      </c>
      <c r="E4" s="2">
        <v>9.4E-2</v>
      </c>
      <c r="F4" s="2">
        <v>9.9000000000000005E-2</v>
      </c>
      <c r="G4" s="2">
        <v>0.1</v>
      </c>
      <c r="H4" s="2">
        <v>0.14299999999999999</v>
      </c>
      <c r="I4" s="2">
        <v>0.14699999999999999</v>
      </c>
      <c r="J4" s="2">
        <v>0.124</v>
      </c>
      <c r="K4" s="2">
        <v>5.0999999999999997E-2</v>
      </c>
      <c r="L4" s="2">
        <v>5.8000000000000003E-2</v>
      </c>
      <c r="M4" s="2">
        <v>7.0000000000000007E-2</v>
      </c>
      <c r="N4" s="6">
        <v>670</v>
      </c>
    </row>
    <row r="5" spans="1:14" x14ac:dyDescent="0.25">
      <c r="A5" s="5" t="s">
        <v>15</v>
      </c>
      <c r="B5" s="2">
        <v>0.45900000000000002</v>
      </c>
      <c r="C5" s="2">
        <v>0.48799999999999999</v>
      </c>
      <c r="D5" s="2">
        <v>0.46500000000000002</v>
      </c>
      <c r="E5" s="2">
        <v>0.06</v>
      </c>
      <c r="F5" s="2">
        <v>5.0999999999999997E-2</v>
      </c>
      <c r="G5" s="2">
        <v>5.2999999999999999E-2</v>
      </c>
      <c r="H5" s="2">
        <v>8.2000000000000003E-2</v>
      </c>
      <c r="I5" s="2">
        <v>8.2000000000000003E-2</v>
      </c>
      <c r="J5" s="2">
        <v>8.2000000000000003E-2</v>
      </c>
      <c r="K5" s="2">
        <v>1.242</v>
      </c>
      <c r="L5" s="2">
        <v>1.042</v>
      </c>
      <c r="M5" s="2">
        <v>1.034</v>
      </c>
      <c r="N5" s="6">
        <v>670</v>
      </c>
    </row>
    <row r="6" spans="1:14" x14ac:dyDescent="0.25">
      <c r="A6" s="5" t="s">
        <v>16</v>
      </c>
      <c r="B6" s="2">
        <v>0.80300000000000005</v>
      </c>
      <c r="C6" s="2">
        <v>0.91800000000000004</v>
      </c>
      <c r="D6" s="2">
        <v>0.77900000000000003</v>
      </c>
      <c r="E6" s="2">
        <v>5.0999999999999997E-2</v>
      </c>
      <c r="F6" s="2">
        <v>0.05</v>
      </c>
      <c r="G6" s="2">
        <v>6.0999999999999999E-2</v>
      </c>
      <c r="H6" s="2">
        <v>0.105</v>
      </c>
      <c r="I6" s="2">
        <v>0.104</v>
      </c>
      <c r="J6" s="2">
        <v>9.9000000000000005E-2</v>
      </c>
      <c r="K6" s="2">
        <v>1.24</v>
      </c>
      <c r="L6" s="2">
        <v>1.056</v>
      </c>
      <c r="M6" s="2">
        <v>0.99099999999999999</v>
      </c>
      <c r="N6" s="6">
        <v>670</v>
      </c>
    </row>
    <row r="7" spans="1:14" x14ac:dyDescent="0.25">
      <c r="A7" s="5" t="s">
        <v>17</v>
      </c>
      <c r="B7" s="2">
        <v>1.3460000000000001</v>
      </c>
      <c r="C7" s="2">
        <v>1.1859999999999999</v>
      </c>
      <c r="D7" s="2">
        <v>1.367</v>
      </c>
      <c r="E7" s="2">
        <v>5.5E-2</v>
      </c>
      <c r="F7" s="2">
        <v>5.3999999999999999E-2</v>
      </c>
      <c r="G7" s="2">
        <v>5.5E-2</v>
      </c>
      <c r="H7" s="2">
        <v>0.11</v>
      </c>
      <c r="I7" s="2">
        <v>0.113</v>
      </c>
      <c r="J7" s="2">
        <v>0.111</v>
      </c>
      <c r="K7" s="2">
        <v>1.8720000000000001</v>
      </c>
      <c r="L7" s="2">
        <v>1.7669999999999999</v>
      </c>
      <c r="M7" s="2">
        <v>1.7150000000000001</v>
      </c>
      <c r="N7" s="6">
        <v>670</v>
      </c>
    </row>
    <row r="8" spans="1:14" x14ac:dyDescent="0.25">
      <c r="A8" s="5" t="s">
        <v>18</v>
      </c>
      <c r="B8" s="2">
        <v>1.397</v>
      </c>
      <c r="C8" s="2">
        <v>1.3240000000000001</v>
      </c>
      <c r="D8" s="2">
        <v>1.4730000000000001</v>
      </c>
      <c r="E8" s="2">
        <v>5.7000000000000002E-2</v>
      </c>
      <c r="F8" s="2">
        <v>5.7000000000000002E-2</v>
      </c>
      <c r="G8" s="2">
        <v>5.6000000000000001E-2</v>
      </c>
      <c r="H8" s="2">
        <v>6.0999999999999999E-2</v>
      </c>
      <c r="I8" s="2">
        <v>5.6000000000000001E-2</v>
      </c>
      <c r="J8" s="2">
        <v>5.6000000000000001E-2</v>
      </c>
      <c r="K8" s="2">
        <v>1.716</v>
      </c>
      <c r="L8" s="2">
        <v>1.4790000000000001</v>
      </c>
      <c r="M8" s="2">
        <v>1.2709999999999999</v>
      </c>
      <c r="N8" s="6">
        <v>670</v>
      </c>
    </row>
    <row r="9" spans="1:14" x14ac:dyDescent="0.25">
      <c r="A9" s="5" t="s">
        <v>19</v>
      </c>
      <c r="B9" s="2">
        <v>1.3480000000000001</v>
      </c>
      <c r="C9" s="2">
        <v>1.3460000000000001</v>
      </c>
      <c r="D9" s="2">
        <v>1.302</v>
      </c>
      <c r="E9" s="2">
        <v>5.8000000000000003E-2</v>
      </c>
      <c r="F9" s="2">
        <v>5.2999999999999999E-2</v>
      </c>
      <c r="G9" s="2">
        <v>5.8999999999999997E-2</v>
      </c>
      <c r="H9" s="2">
        <v>0.254</v>
      </c>
      <c r="I9" s="2">
        <v>0.20499999999999999</v>
      </c>
      <c r="J9" s="2">
        <v>0.222</v>
      </c>
      <c r="K9" s="2">
        <v>1.24</v>
      </c>
      <c r="L9" s="2">
        <v>1.1220000000000001</v>
      </c>
      <c r="M9" s="2">
        <v>1.0109999999999999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127</v>
      </c>
      <c r="F12" s="7"/>
      <c r="G12" s="7"/>
      <c r="H12" s="7" t="s">
        <v>135</v>
      </c>
      <c r="I12" s="7"/>
      <c r="J12" s="7"/>
      <c r="K12" s="7" t="s">
        <v>143</v>
      </c>
      <c r="L12" s="7"/>
      <c r="M12" s="7"/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128</v>
      </c>
      <c r="F13" s="7"/>
      <c r="G13" s="7"/>
      <c r="H13" s="7" t="s">
        <v>136</v>
      </c>
      <c r="I13" s="7"/>
      <c r="J13" s="7"/>
      <c r="K13" s="7" t="s">
        <v>144</v>
      </c>
      <c r="L13" s="7"/>
      <c r="M13" s="7"/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129</v>
      </c>
      <c r="F14" s="7"/>
      <c r="G14" s="7"/>
      <c r="H14" s="7" t="s">
        <v>137</v>
      </c>
      <c r="I14" s="7"/>
      <c r="J14" s="7"/>
      <c r="K14" s="7" t="s">
        <v>145</v>
      </c>
      <c r="L14" s="7"/>
      <c r="M14" s="7"/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130</v>
      </c>
      <c r="F15" s="7"/>
      <c r="G15" s="7"/>
      <c r="H15" s="7" t="s">
        <v>138</v>
      </c>
      <c r="I15" s="7"/>
      <c r="J15" s="7"/>
      <c r="K15" s="7" t="s">
        <v>146</v>
      </c>
      <c r="L15" s="7"/>
      <c r="M15" s="7"/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131</v>
      </c>
      <c r="F16" s="7"/>
      <c r="G16" s="7"/>
      <c r="H16" s="7" t="s">
        <v>139</v>
      </c>
      <c r="I16" s="7"/>
      <c r="J16" s="7"/>
      <c r="K16" s="7" t="s">
        <v>148</v>
      </c>
      <c r="L16" s="7"/>
      <c r="M16" s="7"/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132</v>
      </c>
      <c r="F17" s="7"/>
      <c r="G17" s="7"/>
      <c r="H17" s="7" t="s">
        <v>140</v>
      </c>
      <c r="I17" s="7"/>
      <c r="J17" s="7"/>
      <c r="K17" s="7" t="s">
        <v>149</v>
      </c>
      <c r="L17" s="7"/>
      <c r="M17" s="7"/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133</v>
      </c>
      <c r="F18" s="7"/>
      <c r="G18" s="7"/>
      <c r="H18" s="7" t="s">
        <v>141</v>
      </c>
      <c r="I18" s="7"/>
      <c r="J18" s="7"/>
      <c r="K18" s="7" t="s">
        <v>147</v>
      </c>
      <c r="L18" s="7"/>
      <c r="M18" s="7"/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134</v>
      </c>
      <c r="F19" s="7"/>
      <c r="G19" s="7"/>
      <c r="H19" s="7" t="s">
        <v>142</v>
      </c>
      <c r="I19" s="7"/>
      <c r="J19" s="7"/>
      <c r="K19" s="7" t="s">
        <v>150</v>
      </c>
      <c r="L19" s="7"/>
      <c r="M19" s="7"/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9679-DCB9-4A25-958B-1AF5B3FF834D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4.8000000000000001E-2</v>
      </c>
      <c r="C2" s="2">
        <v>0.05</v>
      </c>
      <c r="D2" s="2">
        <v>4.9000000000000002E-2</v>
      </c>
      <c r="E2" s="2">
        <v>1.369</v>
      </c>
      <c r="F2" s="2">
        <v>1.579</v>
      </c>
      <c r="G2" s="2">
        <v>1.488</v>
      </c>
      <c r="H2" s="2">
        <v>7.0999999999999994E-2</v>
      </c>
      <c r="I2" s="2">
        <v>7.0999999999999994E-2</v>
      </c>
      <c r="J2" s="2">
        <v>7.1999999999999995E-2</v>
      </c>
      <c r="K2" s="2">
        <v>0.78100000000000003</v>
      </c>
      <c r="L2" s="2">
        <v>0.68400000000000005</v>
      </c>
      <c r="M2" s="2">
        <v>0.58799999999999997</v>
      </c>
      <c r="N2" s="6">
        <v>670</v>
      </c>
    </row>
    <row r="3" spans="1:14" x14ac:dyDescent="0.25">
      <c r="A3" s="5" t="s">
        <v>13</v>
      </c>
      <c r="B3" s="2">
        <v>0.129</v>
      </c>
      <c r="C3" s="2">
        <v>0.13800000000000001</v>
      </c>
      <c r="D3" s="2">
        <v>0.18</v>
      </c>
      <c r="E3" s="2">
        <v>1.3520000000000001</v>
      </c>
      <c r="F3" s="2">
        <v>1.194</v>
      </c>
      <c r="G3" s="2">
        <v>1.137</v>
      </c>
      <c r="H3" s="2">
        <v>7.9000000000000001E-2</v>
      </c>
      <c r="I3" s="2">
        <v>7.8E-2</v>
      </c>
      <c r="J3" s="2">
        <v>7.9000000000000001E-2</v>
      </c>
      <c r="K3" s="2">
        <v>2.468</v>
      </c>
      <c r="L3" s="2">
        <v>2.6190000000000002</v>
      </c>
      <c r="M3" s="2">
        <v>2.661</v>
      </c>
      <c r="N3" s="6">
        <v>670</v>
      </c>
    </row>
    <row r="4" spans="1:14" x14ac:dyDescent="0.25">
      <c r="A4" s="5" t="s">
        <v>14</v>
      </c>
      <c r="B4" s="2">
        <v>0.30199999999999999</v>
      </c>
      <c r="C4" s="2">
        <v>0.29899999999999999</v>
      </c>
      <c r="D4" s="2">
        <v>0.25800000000000001</v>
      </c>
      <c r="E4" s="2">
        <v>1.1399999999999999</v>
      </c>
      <c r="F4" s="2">
        <v>1.08</v>
      </c>
      <c r="G4" s="2">
        <v>1.05</v>
      </c>
      <c r="H4" s="2">
        <v>5.7000000000000002E-2</v>
      </c>
      <c r="I4" s="2">
        <v>5.2999999999999999E-2</v>
      </c>
      <c r="J4" s="2">
        <v>5.3999999999999999E-2</v>
      </c>
      <c r="K4" s="2">
        <v>2.452</v>
      </c>
      <c r="L4" s="2">
        <v>2.5379999999999998</v>
      </c>
      <c r="M4" s="2">
        <v>2.4980000000000002</v>
      </c>
      <c r="N4" s="6">
        <v>670</v>
      </c>
    </row>
    <row r="5" spans="1:14" x14ac:dyDescent="0.25">
      <c r="A5" s="5" t="s">
        <v>15</v>
      </c>
      <c r="B5" s="2">
        <v>0.5</v>
      </c>
      <c r="C5" s="2">
        <v>0.46100000000000002</v>
      </c>
      <c r="D5" s="2">
        <v>0.44400000000000001</v>
      </c>
      <c r="E5" s="2">
        <v>1.163</v>
      </c>
      <c r="F5" s="2">
        <v>1.0840000000000001</v>
      </c>
      <c r="G5" s="2">
        <v>0.997</v>
      </c>
      <c r="H5" s="2">
        <v>5.7000000000000002E-2</v>
      </c>
      <c r="I5" s="2">
        <v>5.5E-2</v>
      </c>
      <c r="J5" s="2">
        <v>0.06</v>
      </c>
      <c r="K5" s="2">
        <v>2.6360000000000001</v>
      </c>
      <c r="L5" s="2">
        <v>2.3849999999999998</v>
      </c>
      <c r="M5" s="2">
        <v>2.3839999999999999</v>
      </c>
      <c r="N5" s="6">
        <v>670</v>
      </c>
    </row>
    <row r="6" spans="1:14" x14ac:dyDescent="0.25">
      <c r="A6" s="5" t="s">
        <v>16</v>
      </c>
      <c r="B6" s="2">
        <v>0.88500000000000001</v>
      </c>
      <c r="C6" s="2">
        <v>0.93400000000000005</v>
      </c>
      <c r="D6" s="2">
        <v>0.89200000000000002</v>
      </c>
      <c r="E6" s="2">
        <v>4.9000000000000002E-2</v>
      </c>
      <c r="F6" s="2">
        <v>5.1999999999999998E-2</v>
      </c>
      <c r="G6" s="2">
        <v>5.2999999999999999E-2</v>
      </c>
      <c r="H6" s="2">
        <v>0.06</v>
      </c>
      <c r="I6" s="2">
        <v>5.7000000000000002E-2</v>
      </c>
      <c r="J6" s="2">
        <v>5.6000000000000001E-2</v>
      </c>
      <c r="K6" s="2">
        <v>1.44</v>
      </c>
      <c r="L6" s="2">
        <v>1.3149999999999999</v>
      </c>
      <c r="M6" s="2">
        <v>1.232</v>
      </c>
      <c r="N6" s="6">
        <v>670</v>
      </c>
    </row>
    <row r="7" spans="1:14" x14ac:dyDescent="0.25">
      <c r="A7" s="5" t="s">
        <v>17</v>
      </c>
      <c r="B7" s="2">
        <v>1.1299999999999999</v>
      </c>
      <c r="C7" s="2">
        <v>1.109</v>
      </c>
      <c r="D7" s="2">
        <v>1.2270000000000001</v>
      </c>
      <c r="E7" s="2">
        <v>5.2999999999999999E-2</v>
      </c>
      <c r="F7" s="2">
        <v>5.3999999999999999E-2</v>
      </c>
      <c r="G7" s="2">
        <v>5.6000000000000001E-2</v>
      </c>
      <c r="H7" s="2">
        <v>5.8999999999999997E-2</v>
      </c>
      <c r="I7" s="2">
        <v>5.5E-2</v>
      </c>
      <c r="J7" s="2">
        <v>6.0999999999999999E-2</v>
      </c>
      <c r="K7" s="2">
        <v>1.282</v>
      </c>
      <c r="L7" s="2">
        <v>1.4830000000000001</v>
      </c>
      <c r="M7" s="2">
        <v>1.2729999999999999</v>
      </c>
      <c r="N7" s="6">
        <v>670</v>
      </c>
    </row>
    <row r="8" spans="1:14" x14ac:dyDescent="0.25">
      <c r="A8" s="5" t="s">
        <v>18</v>
      </c>
      <c r="B8" s="2">
        <v>1.335</v>
      </c>
      <c r="C8" s="2">
        <v>1.4179999999999999</v>
      </c>
      <c r="D8" s="2">
        <v>1.431</v>
      </c>
      <c r="E8" s="2">
        <v>5.8000000000000003E-2</v>
      </c>
      <c r="F8" s="2">
        <v>5.8000000000000003E-2</v>
      </c>
      <c r="G8" s="2">
        <v>6.0999999999999999E-2</v>
      </c>
      <c r="H8" s="2">
        <v>5.8999999999999997E-2</v>
      </c>
      <c r="I8" s="2">
        <v>5.6000000000000001E-2</v>
      </c>
      <c r="J8" s="2">
        <v>6.0999999999999999E-2</v>
      </c>
      <c r="K8" s="2">
        <v>2.5129999999999999</v>
      </c>
      <c r="L8" s="2">
        <v>2.4409999999999998</v>
      </c>
      <c r="M8" s="2">
        <v>2.41</v>
      </c>
      <c r="N8" s="6">
        <v>670</v>
      </c>
    </row>
    <row r="9" spans="1:14" x14ac:dyDescent="0.25">
      <c r="A9" s="5" t="s">
        <v>19</v>
      </c>
      <c r="B9" s="2">
        <v>1.458</v>
      </c>
      <c r="C9" s="2">
        <v>1.331</v>
      </c>
      <c r="D9" s="2">
        <v>1.4870000000000001</v>
      </c>
      <c r="E9" s="2">
        <v>5.7000000000000002E-2</v>
      </c>
      <c r="F9" s="2">
        <v>5.1999999999999998E-2</v>
      </c>
      <c r="G9" s="2">
        <v>5.1999999999999998E-2</v>
      </c>
      <c r="H9" s="2">
        <v>0.32300000000000001</v>
      </c>
      <c r="I9" s="2">
        <v>0.32200000000000001</v>
      </c>
      <c r="J9" s="2">
        <v>0.30299999999999999</v>
      </c>
      <c r="K9" s="2">
        <v>1.5980000000000001</v>
      </c>
      <c r="L9" s="2">
        <v>3.2970000000000002</v>
      </c>
      <c r="M9" s="2">
        <v>2.2400000000000002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153</v>
      </c>
      <c r="F12" s="7"/>
      <c r="G12" s="7"/>
      <c r="H12" s="7" t="s">
        <v>160</v>
      </c>
      <c r="I12" s="7"/>
      <c r="J12" s="7"/>
      <c r="K12" s="7" t="s">
        <v>169</v>
      </c>
      <c r="L12" s="7"/>
      <c r="M12" s="7"/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154</v>
      </c>
      <c r="F13" s="7"/>
      <c r="G13" s="7"/>
      <c r="H13" s="7" t="s">
        <v>161</v>
      </c>
      <c r="I13" s="7"/>
      <c r="J13" s="7"/>
      <c r="K13" s="7" t="s">
        <v>174</v>
      </c>
      <c r="L13" s="7"/>
      <c r="M13" s="7"/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155</v>
      </c>
      <c r="F14" s="7"/>
      <c r="G14" s="7"/>
      <c r="H14" s="7" t="s">
        <v>163</v>
      </c>
      <c r="I14" s="7"/>
      <c r="J14" s="7"/>
      <c r="K14" s="7" t="s">
        <v>175</v>
      </c>
      <c r="L14" s="7"/>
      <c r="M14" s="7"/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156</v>
      </c>
      <c r="F15" s="7"/>
      <c r="G15" s="7"/>
      <c r="H15" s="7" t="s">
        <v>166</v>
      </c>
      <c r="I15" s="7"/>
      <c r="J15" s="7"/>
      <c r="K15" s="7" t="s">
        <v>176</v>
      </c>
      <c r="L15" s="7"/>
      <c r="M15" s="7"/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157</v>
      </c>
      <c r="F16" s="7"/>
      <c r="G16" s="7"/>
      <c r="H16" s="7" t="s">
        <v>164</v>
      </c>
      <c r="I16" s="7"/>
      <c r="J16" s="7"/>
      <c r="K16" s="7" t="s">
        <v>170</v>
      </c>
      <c r="L16" s="7"/>
      <c r="M16" s="7"/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158</v>
      </c>
      <c r="F17" s="7"/>
      <c r="G17" s="7"/>
      <c r="H17" s="7" t="s">
        <v>167</v>
      </c>
      <c r="I17" s="7"/>
      <c r="J17" s="7"/>
      <c r="K17" s="7" t="s">
        <v>171</v>
      </c>
      <c r="L17" s="7"/>
      <c r="M17" s="7"/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162</v>
      </c>
      <c r="F18" s="7"/>
      <c r="G18" s="7"/>
      <c r="H18" s="7" t="s">
        <v>165</v>
      </c>
      <c r="I18" s="7"/>
      <c r="J18" s="7"/>
      <c r="K18" s="7" t="s">
        <v>172</v>
      </c>
      <c r="L18" s="7"/>
      <c r="M18" s="7"/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159</v>
      </c>
      <c r="F19" s="7"/>
      <c r="G19" s="7"/>
      <c r="H19" s="7" t="s">
        <v>168</v>
      </c>
      <c r="I19" s="7"/>
      <c r="J19" s="7"/>
      <c r="K19" s="7" t="s">
        <v>173</v>
      </c>
      <c r="L19" s="7"/>
      <c r="M19" s="7"/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8FEF-0C97-47FA-BE5E-AEA052327FFD}">
  <dimension ref="A1:N29"/>
  <sheetViews>
    <sheetView tabSelected="1" workbookViewId="0">
      <selection sqref="A1:XFD1048576"/>
    </sheetView>
  </sheetViews>
  <sheetFormatPr defaultRowHeight="15" x14ac:dyDescent="0.25"/>
  <sheetData>
    <row r="1" spans="1:14" x14ac:dyDescent="0.25">
      <c r="A1" s="4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4.8000000000000001E-2</v>
      </c>
      <c r="C2" s="2">
        <v>4.9000000000000002E-2</v>
      </c>
      <c r="D2" s="2">
        <v>5.6000000000000001E-2</v>
      </c>
      <c r="E2" s="2">
        <v>0.30499999999999999</v>
      </c>
      <c r="F2" s="2">
        <v>0.28999999999999998</v>
      </c>
      <c r="G2" s="2">
        <v>0.27900000000000003</v>
      </c>
      <c r="H2" s="2">
        <v>1.107</v>
      </c>
      <c r="I2" s="2">
        <v>0.97</v>
      </c>
      <c r="J2" s="2">
        <v>0.97699999999999998</v>
      </c>
      <c r="K2" s="2">
        <v>6.9000000000000006E-2</v>
      </c>
      <c r="L2" s="2">
        <v>6.6000000000000003E-2</v>
      </c>
      <c r="M2" s="2">
        <v>6.4000000000000001E-2</v>
      </c>
      <c r="N2" s="6">
        <v>670</v>
      </c>
    </row>
    <row r="3" spans="1:14" x14ac:dyDescent="0.25">
      <c r="A3" s="5" t="s">
        <v>13</v>
      </c>
      <c r="B3" s="2">
        <v>0.122</v>
      </c>
      <c r="C3" s="2">
        <v>0.13800000000000001</v>
      </c>
      <c r="D3" s="2">
        <v>0.13100000000000001</v>
      </c>
      <c r="E3" s="2">
        <v>0.17599999999999999</v>
      </c>
      <c r="F3" s="2">
        <v>0.30499999999999999</v>
      </c>
      <c r="G3" s="2">
        <v>0.25800000000000001</v>
      </c>
      <c r="H3" s="2">
        <v>0.50600000000000001</v>
      </c>
      <c r="I3" s="2">
        <v>0.44400000000000001</v>
      </c>
      <c r="J3" s="2">
        <v>0.439</v>
      </c>
      <c r="K3" s="2">
        <v>4.4999999999999998E-2</v>
      </c>
      <c r="L3" s="2">
        <v>4.4999999999999998E-2</v>
      </c>
      <c r="M3" s="2">
        <v>4.4999999999999998E-2</v>
      </c>
      <c r="N3" s="6">
        <v>670</v>
      </c>
    </row>
    <row r="4" spans="1:14" x14ac:dyDescent="0.25">
      <c r="A4" s="5" t="s">
        <v>14</v>
      </c>
      <c r="B4" s="2">
        <v>0.27200000000000002</v>
      </c>
      <c r="C4" s="2">
        <v>0.3</v>
      </c>
      <c r="D4" s="2">
        <v>0.27100000000000002</v>
      </c>
      <c r="E4" s="2">
        <v>0.41</v>
      </c>
      <c r="F4" s="2">
        <v>0.376</v>
      </c>
      <c r="G4" s="2">
        <v>0.43099999999999999</v>
      </c>
      <c r="H4" s="2">
        <v>0.64800000000000002</v>
      </c>
      <c r="I4" s="2">
        <v>0.57899999999999996</v>
      </c>
      <c r="J4" s="2">
        <v>0.57199999999999995</v>
      </c>
      <c r="K4" s="2">
        <v>4.4999999999999998E-2</v>
      </c>
      <c r="L4" s="2">
        <v>4.4999999999999998E-2</v>
      </c>
      <c r="M4" s="2">
        <v>4.4999999999999998E-2</v>
      </c>
      <c r="N4" s="6">
        <v>670</v>
      </c>
    </row>
    <row r="5" spans="1:14" x14ac:dyDescent="0.25">
      <c r="A5" s="5" t="s">
        <v>15</v>
      </c>
      <c r="B5" s="2">
        <v>0.56299999999999994</v>
      </c>
      <c r="C5" s="2">
        <v>0.51100000000000001</v>
      </c>
      <c r="D5" s="2">
        <v>0.495</v>
      </c>
      <c r="E5" s="2">
        <v>0.61899999999999999</v>
      </c>
      <c r="F5" s="2">
        <v>0.52200000000000002</v>
      </c>
      <c r="G5" s="2">
        <v>0.42399999999999999</v>
      </c>
      <c r="H5" s="2">
        <v>1.036</v>
      </c>
      <c r="I5" s="2">
        <v>0.91100000000000003</v>
      </c>
      <c r="J5" s="2">
        <v>0.93700000000000006</v>
      </c>
      <c r="K5" s="2">
        <v>4.4999999999999998E-2</v>
      </c>
      <c r="L5" s="2">
        <v>4.4999999999999998E-2</v>
      </c>
      <c r="M5" s="2">
        <v>4.4999999999999998E-2</v>
      </c>
      <c r="N5" s="6">
        <v>670</v>
      </c>
    </row>
    <row r="6" spans="1:14" x14ac:dyDescent="0.25">
      <c r="A6" s="5" t="s">
        <v>16</v>
      </c>
      <c r="B6" s="2">
        <v>0.879</v>
      </c>
      <c r="C6" s="2">
        <v>0.86599999999999999</v>
      </c>
      <c r="D6" s="2">
        <v>0.79200000000000004</v>
      </c>
      <c r="E6" s="2">
        <v>0.69299999999999995</v>
      </c>
      <c r="F6" s="2">
        <v>0.67300000000000004</v>
      </c>
      <c r="G6" s="2">
        <v>0.64700000000000002</v>
      </c>
      <c r="H6" s="2">
        <v>1.163</v>
      </c>
      <c r="I6" s="2">
        <v>1.1299999999999999</v>
      </c>
      <c r="J6" s="2">
        <v>1.097</v>
      </c>
      <c r="K6" s="2">
        <v>4.4999999999999998E-2</v>
      </c>
      <c r="L6" s="2">
        <v>4.4999999999999998E-2</v>
      </c>
      <c r="M6" s="2">
        <v>4.4999999999999998E-2</v>
      </c>
      <c r="N6" s="6">
        <v>670</v>
      </c>
    </row>
    <row r="7" spans="1:14" x14ac:dyDescent="0.25">
      <c r="A7" s="5" t="s">
        <v>17</v>
      </c>
      <c r="B7" s="2">
        <v>1.2390000000000001</v>
      </c>
      <c r="C7" s="2">
        <v>1.2689999999999999</v>
      </c>
      <c r="D7" s="2">
        <v>1.1160000000000001</v>
      </c>
      <c r="E7" s="2">
        <v>1.3280000000000001</v>
      </c>
      <c r="F7" s="2">
        <v>1.2270000000000001</v>
      </c>
      <c r="G7" s="2">
        <v>1.226</v>
      </c>
      <c r="H7" s="2">
        <v>1.2190000000000001</v>
      </c>
      <c r="I7" s="2">
        <v>1.1240000000000001</v>
      </c>
      <c r="J7" s="2">
        <v>1.056</v>
      </c>
      <c r="K7" s="2">
        <v>4.4999999999999998E-2</v>
      </c>
      <c r="L7" s="2">
        <v>4.4999999999999998E-2</v>
      </c>
      <c r="M7" s="2">
        <v>4.4999999999999998E-2</v>
      </c>
      <c r="N7" s="6">
        <v>670</v>
      </c>
    </row>
    <row r="8" spans="1:14" x14ac:dyDescent="0.25">
      <c r="A8" s="5" t="s">
        <v>18</v>
      </c>
      <c r="B8" s="2">
        <v>1.458</v>
      </c>
      <c r="C8" s="2">
        <v>1.39</v>
      </c>
      <c r="D8" s="2">
        <v>1.361</v>
      </c>
      <c r="E8" s="2">
        <v>0.98199999999999998</v>
      </c>
      <c r="F8" s="2">
        <v>0.94799999999999995</v>
      </c>
      <c r="G8" s="2">
        <v>0.93600000000000005</v>
      </c>
      <c r="H8" s="2">
        <v>0.98599999999999999</v>
      </c>
      <c r="I8" s="2">
        <v>1.0249999999999999</v>
      </c>
      <c r="J8" s="2">
        <v>0.94499999999999995</v>
      </c>
      <c r="K8" s="2">
        <v>4.3999999999999997E-2</v>
      </c>
      <c r="L8" s="2">
        <v>4.4999999999999998E-2</v>
      </c>
      <c r="M8" s="2">
        <v>4.4999999999999998E-2</v>
      </c>
      <c r="N8" s="6">
        <v>670</v>
      </c>
    </row>
    <row r="9" spans="1:14" x14ac:dyDescent="0.25">
      <c r="A9" s="5" t="s">
        <v>19</v>
      </c>
      <c r="B9" s="2">
        <v>1.4159999999999999</v>
      </c>
      <c r="C9" s="2">
        <v>1.21</v>
      </c>
      <c r="D9" s="2">
        <v>1.494</v>
      </c>
      <c r="E9" s="2">
        <v>1.5069999999999999</v>
      </c>
      <c r="F9" s="2">
        <v>1.42</v>
      </c>
      <c r="G9" s="2">
        <v>1.3080000000000001</v>
      </c>
      <c r="H9" s="2">
        <v>1.3140000000000001</v>
      </c>
      <c r="I9" s="2">
        <v>1.2210000000000001</v>
      </c>
      <c r="J9" s="2">
        <v>1.282</v>
      </c>
      <c r="K9" s="2">
        <v>4.4999999999999998E-2</v>
      </c>
      <c r="L9" s="2">
        <v>4.4999999999999998E-2</v>
      </c>
      <c r="M9" s="2">
        <v>4.5999999999999999E-2</v>
      </c>
      <c r="N9" s="6">
        <v>670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177</v>
      </c>
      <c r="F12" s="7" t="s">
        <v>177</v>
      </c>
      <c r="G12" s="7" t="s">
        <v>177</v>
      </c>
      <c r="H12" s="7" t="s">
        <v>152</v>
      </c>
      <c r="I12" s="7" t="s">
        <v>152</v>
      </c>
      <c r="J12" s="7" t="s">
        <v>152</v>
      </c>
      <c r="K12" s="7" t="s">
        <v>186</v>
      </c>
      <c r="L12" s="7" t="s">
        <v>186</v>
      </c>
      <c r="M12" s="7" t="s">
        <v>186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178</v>
      </c>
      <c r="F13" s="7" t="s">
        <v>178</v>
      </c>
      <c r="G13" s="7" t="s">
        <v>178</v>
      </c>
      <c r="H13" s="7" t="s">
        <v>179</v>
      </c>
      <c r="I13" s="7" t="s">
        <v>179</v>
      </c>
      <c r="J13" s="7" t="s">
        <v>179</v>
      </c>
      <c r="K13" s="7"/>
      <c r="L13" s="7"/>
      <c r="M13" s="7"/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54</v>
      </c>
      <c r="F14" s="7" t="s">
        <v>54</v>
      </c>
      <c r="G14" s="7" t="s">
        <v>54</v>
      </c>
      <c r="H14" s="7" t="s">
        <v>180</v>
      </c>
      <c r="I14" s="7" t="s">
        <v>180</v>
      </c>
      <c r="J14" s="7" t="s">
        <v>180</v>
      </c>
      <c r="K14" s="7"/>
      <c r="L14" s="7"/>
      <c r="M14" s="7"/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59</v>
      </c>
      <c r="F15" s="7" t="s">
        <v>59</v>
      </c>
      <c r="G15" s="7" t="s">
        <v>59</v>
      </c>
      <c r="H15" s="7" t="s">
        <v>181</v>
      </c>
      <c r="I15" s="7" t="s">
        <v>181</v>
      </c>
      <c r="J15" s="7" t="s">
        <v>181</v>
      </c>
      <c r="K15" s="7"/>
      <c r="L15" s="7"/>
      <c r="M15" s="7"/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60</v>
      </c>
      <c r="F16" s="7" t="s">
        <v>60</v>
      </c>
      <c r="G16" s="7" t="s">
        <v>60</v>
      </c>
      <c r="H16" s="7" t="s">
        <v>182</v>
      </c>
      <c r="I16" s="7" t="s">
        <v>182</v>
      </c>
      <c r="J16" s="7" t="s">
        <v>182</v>
      </c>
      <c r="K16" s="7"/>
      <c r="L16" s="7"/>
      <c r="M16" s="7"/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120</v>
      </c>
      <c r="F17" s="7" t="s">
        <v>120</v>
      </c>
      <c r="G17" s="7" t="s">
        <v>120</v>
      </c>
      <c r="H17" s="7" t="s">
        <v>183</v>
      </c>
      <c r="I17" s="7" t="s">
        <v>183</v>
      </c>
      <c r="J17" s="7" t="s">
        <v>183</v>
      </c>
      <c r="K17" s="7"/>
      <c r="L17" s="7"/>
      <c r="M17" s="7"/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121</v>
      </c>
      <c r="F18" s="7" t="s">
        <v>121</v>
      </c>
      <c r="G18" s="7" t="s">
        <v>121</v>
      </c>
      <c r="H18" s="7" t="s">
        <v>184</v>
      </c>
      <c r="I18" s="7" t="s">
        <v>184</v>
      </c>
      <c r="J18" s="7" t="s">
        <v>184</v>
      </c>
      <c r="K18" s="7"/>
      <c r="L18" s="7"/>
      <c r="M18" s="7"/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151</v>
      </c>
      <c r="F19" s="7" t="s">
        <v>151</v>
      </c>
      <c r="G19" s="7" t="s">
        <v>151</v>
      </c>
      <c r="H19" s="7" t="s">
        <v>185</v>
      </c>
      <c r="I19" s="7" t="s">
        <v>185</v>
      </c>
      <c r="J19" s="7" t="s">
        <v>185</v>
      </c>
      <c r="K19" s="7"/>
      <c r="L19" s="7"/>
      <c r="M19" s="7"/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25</v>
      </c>
      <c r="I22" s="2">
        <v>25</v>
      </c>
      <c r="J22" s="2">
        <v>25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25</v>
      </c>
      <c r="F23" s="2">
        <v>25</v>
      </c>
      <c r="G23" s="2">
        <v>25</v>
      </c>
      <c r="H23" s="2">
        <v>25</v>
      </c>
      <c r="I23" s="2">
        <v>25</v>
      </c>
      <c r="J23" s="2">
        <v>25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25</v>
      </c>
      <c r="F24" s="2">
        <v>25</v>
      </c>
      <c r="G24" s="2">
        <v>25</v>
      </c>
      <c r="H24" s="2">
        <v>25</v>
      </c>
      <c r="I24" s="2">
        <v>25</v>
      </c>
      <c r="J24" s="2">
        <v>25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25</v>
      </c>
      <c r="F25" s="2">
        <v>25</v>
      </c>
      <c r="G25" s="2">
        <v>25</v>
      </c>
      <c r="H25" s="2">
        <v>25</v>
      </c>
      <c r="I25" s="2">
        <v>25</v>
      </c>
      <c r="J25" s="2">
        <v>25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25</v>
      </c>
      <c r="F26" s="2">
        <v>25</v>
      </c>
      <c r="G26" s="2">
        <v>25</v>
      </c>
      <c r="H26" s="2">
        <v>25</v>
      </c>
      <c r="I26" s="2">
        <v>25</v>
      </c>
      <c r="J26" s="2">
        <v>25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25</v>
      </c>
      <c r="F27" s="2">
        <v>25</v>
      </c>
      <c r="G27" s="2">
        <v>25</v>
      </c>
      <c r="H27" s="2">
        <v>25</v>
      </c>
      <c r="I27" s="2">
        <v>25</v>
      </c>
      <c r="J27" s="2">
        <v>25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25</v>
      </c>
      <c r="F28" s="2">
        <v>25</v>
      </c>
      <c r="G28" s="2">
        <v>25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25</v>
      </c>
      <c r="F29" s="2">
        <v>25</v>
      </c>
      <c r="G29" s="2">
        <v>25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2023-08-06T19:23:02Z</dcterms:created>
  <dcterms:modified xsi:type="dcterms:W3CDTF">2023-09-03T05:13:15Z</dcterms:modified>
</cp:coreProperties>
</file>