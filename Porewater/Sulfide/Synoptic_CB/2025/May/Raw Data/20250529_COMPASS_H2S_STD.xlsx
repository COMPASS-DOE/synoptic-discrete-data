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5\"/>
    </mc:Choice>
  </mc:AlternateContent>
  <xr:revisionPtr revIDLastSave="0" documentId="8_{597344CE-6B03-413F-9DD8-9562948CD4F1}" xr6:coauthVersionLast="36" xr6:coauthVersionMax="36" xr10:uidLastSave="{00000000-0000-0000-0000-000000000000}"/>
  <bookViews>
    <workbookView xWindow="0" yWindow="0" windowWidth="18885" windowHeight="11640" xr2:uid="{9088B54B-D0CF-4363-A151-7BF123AC0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2" i="1"/>
  <c r="I13" i="1"/>
  <c r="I14" i="1"/>
  <c r="I16" i="1"/>
  <c r="I11" i="1"/>
  <c r="F15" i="1"/>
  <c r="C12" i="1"/>
  <c r="F14" i="1"/>
  <c r="F16" i="1"/>
  <c r="F18" i="1"/>
  <c r="F17" i="1"/>
  <c r="F13" i="1"/>
  <c r="F12" i="1"/>
  <c r="F11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<sst xmlns="http://schemas.openxmlformats.org/spreadsheetml/2006/main" count="8" uniqueCount="8">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</sst>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5.3666666666666668E-2</c:v>
                </c:pt>
                <c:pt idx="1">
                  <c:v>0.1245</c:v>
                </c:pt>
                <c:pt idx="2">
                  <c:v>0.20699999999999999</c:v>
                </c:pt>
                <c:pt idx="3">
                  <c:v>0.35933333333333328</c:v>
                </c:pt>
                <c:pt idx="5">
                  <c:v>1.056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E-458E-ABC6-137FCD04F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453272"/>
        <c:axId val="433447040"/>
      </c:scatterChart>
      <c:valAx>
        <c:axId val="433453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47040"/>
        <c:crosses val="autoZero"/>
        <c:crossBetween val="midCat"/>
      </c:valAx>
      <c:valAx>
        <c:axId val="4334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53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809711286089237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Sheet1!$E$11:$E$16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Sheet1!$F$11:$F$16</c:f>
              <c:numCache>
                <c:formatCode>General</c:formatCode>
                <c:ptCount val="6"/>
                <c:pt idx="0">
                  <c:v>5.2666666666666667E-2</c:v>
                </c:pt>
                <c:pt idx="1">
                  <c:v>0.13700000000000001</c:v>
                </c:pt>
                <c:pt idx="2">
                  <c:v>0.27166666666666667</c:v>
                </c:pt>
                <c:pt idx="3">
                  <c:v>0.43233333333333329</c:v>
                </c:pt>
                <c:pt idx="4">
                  <c:v>0.64166666666666672</c:v>
                </c:pt>
                <c:pt idx="5">
                  <c:v>1.1079999999999999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85-491F-BFE6-FE422F5DA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64624"/>
        <c:axId val="212066592"/>
      </c:scatterChart>
      <c:valAx>
        <c:axId val="21206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6592"/>
        <c:crosses val="autoZero"/>
        <c:crossBetween val="midCat"/>
      </c:valAx>
      <c:valAx>
        <c:axId val="2120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147637</xdr:colOff>
      <xdr:row>18</xdr:row>
      <xdr:rowOff>119062</xdr:rowOff>
    </xdr:from>
    <xdr:to>
      <xdr:col>7</xdr:col>
      <xdr:colOff>452437</xdr:colOff>
      <xdr:row>33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2E1D9-9F91-42DB-8E6C-986B9E1DA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328612</xdr:colOff>
      <xdr:row>13</xdr:row>
      <xdr:rowOff>61912</xdr:rowOff>
    </xdr:from>
    <xdr:to>
      <xdr:col>17</xdr:col>
      <xdr:colOff>23812</xdr:colOff>
      <xdr:row>27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D81D2C-885F-463D-82CC-251DDF711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D896-FE07-4E71-85C6-A74EAD54B92A}">
  <dimension ref="A1:N18"/>
  <sheetViews>
    <sheetView tabSelected="1" workbookViewId="0">
      <selection activeCell="I16" sqref="I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5.3999999999999999E-2</v>
      </c>
      <c r="C2" s="3">
        <v>5.5E-2</v>
      </c>
      <c r="D2" s="3">
        <v>5.1999999999999998E-2</v>
      </c>
      <c r="E2" s="3">
        <v>5.5E-2</v>
      </c>
      <c r="F2" s="3">
        <v>5.0999999999999997E-2</v>
      </c>
      <c r="G2" s="3">
        <v>5.1999999999999998E-2</v>
      </c>
      <c r="H2" s="3">
        <v>4.5999999999999999E-2</v>
      </c>
      <c r="I2" s="3">
        <v>4.4999999999999998E-2</v>
      </c>
      <c r="J2" s="3">
        <v>4.3999999999999997E-2</v>
      </c>
      <c r="K2" s="3">
        <v>4.5999999999999999E-2</v>
      </c>
      <c r="L2" s="3">
        <v>4.5999999999999999E-2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0.157</v>
      </c>
      <c r="C3" s="3">
        <v>0.13300000000000001</v>
      </c>
      <c r="D3" s="3">
        <v>0.11600000000000001</v>
      </c>
      <c r="E3" s="3">
        <v>0.13400000000000001</v>
      </c>
      <c r="F3" s="3">
        <v>0.106</v>
      </c>
      <c r="G3" s="3">
        <v>0.17100000000000001</v>
      </c>
      <c r="H3" s="3">
        <v>4.5999999999999999E-2</v>
      </c>
      <c r="I3" s="3">
        <v>4.4999999999999998E-2</v>
      </c>
      <c r="J3" s="3">
        <v>4.4999999999999998E-2</v>
      </c>
      <c r="K3" s="3">
        <v>4.5999999999999999E-2</v>
      </c>
      <c r="L3" s="3">
        <v>4.4999999999999998E-2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0.214</v>
      </c>
      <c r="C4" s="3">
        <v>0.20200000000000001</v>
      </c>
      <c r="D4" s="3">
        <v>0.20499999999999999</v>
      </c>
      <c r="E4" s="3">
        <v>0.36899999999999999</v>
      </c>
      <c r="F4" s="3">
        <v>0.23100000000000001</v>
      </c>
      <c r="G4" s="3">
        <v>0.215</v>
      </c>
      <c r="H4" s="3">
        <v>4.3999999999999997E-2</v>
      </c>
      <c r="I4" s="3">
        <v>4.4999999999999998E-2</v>
      </c>
      <c r="J4" s="3">
        <v>4.3999999999999997E-2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0.36099999999999999</v>
      </c>
      <c r="C5" s="3">
        <v>0.34799999999999998</v>
      </c>
      <c r="D5" s="3">
        <v>0.36899999999999999</v>
      </c>
      <c r="E5" s="3">
        <v>0.47799999999999998</v>
      </c>
      <c r="F5" s="3">
        <v>0.38700000000000001</v>
      </c>
      <c r="G5" s="3">
        <v>0.432</v>
      </c>
      <c r="H5" s="3">
        <v>4.4999999999999998E-2</v>
      </c>
      <c r="I5" s="3">
        <v>4.3999999999999997E-2</v>
      </c>
      <c r="J5" s="3">
        <v>4.4999999999999998E-2</v>
      </c>
      <c r="K5" s="3">
        <v>4.4999999999999998E-2</v>
      </c>
      <c r="L5" s="3">
        <v>4.4999999999999998E-2</v>
      </c>
      <c r="M5" s="3">
        <v>4.4999999999999998E-2</v>
      </c>
      <c r="N5" s="4">
        <v>670</v>
      </c>
    </row>
    <row r="6" spans="1:14" x14ac:dyDescent="0.25">
      <c r="A6" s="2" t="s">
        <v>4</v>
      </c>
      <c r="B6" s="3">
        <v>0.69699999999999995</v>
      </c>
      <c r="C6" s="3">
        <v>0.88200000000000001</v>
      </c>
      <c r="D6" s="3">
        <v>0.71</v>
      </c>
      <c r="E6" s="3">
        <v>0.70299999999999996</v>
      </c>
      <c r="F6" s="3">
        <v>0.59099999999999997</v>
      </c>
      <c r="G6" s="3">
        <v>0.63100000000000001</v>
      </c>
      <c r="H6" s="3">
        <v>4.4999999999999998E-2</v>
      </c>
      <c r="I6" s="3">
        <v>4.4999999999999998E-2</v>
      </c>
      <c r="J6" s="3">
        <v>4.4999999999999998E-2</v>
      </c>
      <c r="K6" s="3">
        <v>4.4999999999999998E-2</v>
      </c>
      <c r="L6" s="3">
        <v>4.4999999999999998E-2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1.046</v>
      </c>
      <c r="C7" s="3">
        <v>1.08</v>
      </c>
      <c r="D7" s="3">
        <v>1.042</v>
      </c>
      <c r="E7" s="3">
        <v>1.044</v>
      </c>
      <c r="F7" s="3">
        <v>1.1439999999999999</v>
      </c>
      <c r="G7" s="3">
        <v>1.1359999999999999</v>
      </c>
      <c r="H7" s="3">
        <v>4.4999999999999998E-2</v>
      </c>
      <c r="I7" s="3">
        <v>4.3999999999999997E-2</v>
      </c>
      <c r="J7" s="3">
        <v>4.4999999999999998E-2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1.0169999999999999</v>
      </c>
      <c r="C8" s="3">
        <v>0.96899999999999997</v>
      </c>
      <c r="D8" s="3">
        <v>0.85599999999999998</v>
      </c>
      <c r="E8" s="3">
        <v>1.052</v>
      </c>
      <c r="F8" s="3">
        <v>1.0369999999999999</v>
      </c>
      <c r="G8" s="3">
        <v>1.01</v>
      </c>
      <c r="H8" s="3">
        <v>4.3999999999999997E-2</v>
      </c>
      <c r="I8" s="3">
        <v>4.4999999999999998E-2</v>
      </c>
      <c r="J8" s="3">
        <v>4.4999999999999998E-2</v>
      </c>
      <c r="K8" s="3">
        <v>4.5999999999999999E-2</v>
      </c>
      <c r="L8" s="3">
        <v>4.5999999999999999E-2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1.014</v>
      </c>
      <c r="C9" s="3">
        <v>0.92900000000000005</v>
      </c>
      <c r="D9" s="3">
        <v>1.0840000000000001</v>
      </c>
      <c r="E9" s="3">
        <v>1.0009999999999999</v>
      </c>
      <c r="F9" s="3">
        <v>0.98599999999999999</v>
      </c>
      <c r="G9" s="3">
        <v>0.91500000000000004</v>
      </c>
      <c r="H9" s="3">
        <v>4.4999999999999998E-2</v>
      </c>
      <c r="I9" s="3">
        <v>4.4999999999999998E-2</v>
      </c>
      <c r="J9" s="3">
        <v>4.7E-2</v>
      </c>
      <c r="K9" s="3">
        <v>4.3999999999999997E-2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5.3666666666666668E-2</v>
      </c>
      <c r="E11" s="5">
        <v>0</v>
      </c>
      <c r="F11">
        <f>AVERAGE(E2:G2)</f>
        <v>5.2666666666666667E-2</v>
      </c>
      <c r="H11" s="5">
        <v>0</v>
      </c>
      <c r="I11">
        <f>AVERAGE(B2:G2)</f>
        <v>5.3166666666666668E-2</v>
      </c>
    </row>
    <row r="12" spans="1:14" x14ac:dyDescent="0.25">
      <c r="B12" s="5">
        <v>5</v>
      </c>
      <c r="C12">
        <f>AVERAGE(C3:D3)</f>
        <v>0.1245</v>
      </c>
      <c r="E12" s="5">
        <v>5</v>
      </c>
      <c r="F12">
        <f t="shared" ref="F12:F18" si="0">AVERAGE(E3:G3)</f>
        <v>0.13700000000000001</v>
      </c>
      <c r="H12" s="5">
        <v>5</v>
      </c>
      <c r="I12">
        <f t="shared" ref="I12:I16" si="1">AVERAGE(B3:G3)</f>
        <v>0.13616666666666669</v>
      </c>
    </row>
    <row r="13" spans="1:14" x14ac:dyDescent="0.25">
      <c r="B13" s="5">
        <v>12.5</v>
      </c>
      <c r="C13">
        <f t="shared" ref="C12:C18" si="2">AVERAGE(B4:D4)</f>
        <v>0.20699999999999999</v>
      </c>
      <c r="E13" s="5">
        <v>12.5</v>
      </c>
      <c r="F13">
        <f t="shared" si="0"/>
        <v>0.27166666666666667</v>
      </c>
      <c r="H13" s="5">
        <v>12.5</v>
      </c>
      <c r="I13">
        <f t="shared" si="1"/>
        <v>0.23933333333333337</v>
      </c>
    </row>
    <row r="14" spans="1:14" x14ac:dyDescent="0.25">
      <c r="B14" s="5">
        <v>25</v>
      </c>
      <c r="C14">
        <f t="shared" si="2"/>
        <v>0.35933333333333328</v>
      </c>
      <c r="E14" s="5">
        <v>25</v>
      </c>
      <c r="F14">
        <f t="shared" si="0"/>
        <v>0.43233333333333329</v>
      </c>
      <c r="H14" s="5">
        <v>25</v>
      </c>
      <c r="I14">
        <f t="shared" si="1"/>
        <v>0.39583333333333331</v>
      </c>
    </row>
    <row r="15" spans="1:14" x14ac:dyDescent="0.25">
      <c r="B15" s="5">
        <v>50</v>
      </c>
      <c r="E15" s="5">
        <v>50</v>
      </c>
      <c r="F15">
        <f>AVERAGE(E6:G6)</f>
        <v>0.64166666666666672</v>
      </c>
      <c r="H15" s="5">
        <v>50</v>
      </c>
      <c r="I15">
        <f>AVERAGE(D6:G6,B6)</f>
        <v>0.66639999999999999</v>
      </c>
    </row>
    <row r="16" spans="1:14" x14ac:dyDescent="0.25">
      <c r="B16" s="5">
        <v>100</v>
      </c>
      <c r="C16">
        <f t="shared" si="2"/>
        <v>1.056</v>
      </c>
      <c r="E16" s="5">
        <v>100</v>
      </c>
      <c r="F16">
        <f>AVERAGE(E7:G7)</f>
        <v>1.1079999999999999</v>
      </c>
      <c r="H16" s="5">
        <v>100</v>
      </c>
      <c r="I16">
        <f t="shared" si="1"/>
        <v>1.0820000000000001</v>
      </c>
    </row>
    <row r="17" spans="3:6" x14ac:dyDescent="0.25">
      <c r="C17">
        <f t="shared" si="2"/>
        <v>0.94733333333333325</v>
      </c>
      <c r="F17">
        <f t="shared" si="0"/>
        <v>1.0330000000000001</v>
      </c>
    </row>
    <row r="18" spans="3:6" x14ac:dyDescent="0.25">
      <c r="C18">
        <f t="shared" si="2"/>
        <v>1.0090000000000001</v>
      </c>
      <c r="F18">
        <f t="shared" si="0"/>
        <v>0.96733333333333338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2025-05-29T14:52:22Z</dcterms:created>
  <dcterms:modified xsi:type="dcterms:W3CDTF">2025-05-29T16:03:01Z</dcterms:modified>
</cp:coreProperties>
</file>