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roplate\Desktop\BioGeoChem_Microplates\COMPASS\May 2025\"/>
    </mc:Choice>
  </mc:AlternateContent>
  <xr:revisionPtr revIDLastSave="0" documentId="8_{9F7F599B-5C58-49A3-8176-3A44ED8928CC}" xr6:coauthVersionLast="36" xr6:coauthVersionMax="36" xr10:uidLastSave="{00000000-0000-0000-0000-000000000000}"/>
  <bookViews>
    <workbookView xWindow="0" yWindow="0" windowWidth="18885" windowHeight="11640" xr2:uid="{462888D8-259F-4453-A226-FBAF810DCE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4" i="1" l="1"/>
  <c r="C15" i="1"/>
  <c r="L18" i="1"/>
  <c r="L17" i="1"/>
  <c r="L16" i="1"/>
  <c r="L15" i="1"/>
  <c r="L14" i="1"/>
  <c r="L13" i="1"/>
  <c r="L12" i="1"/>
  <c r="L11" i="1"/>
  <c r="I18" i="1"/>
  <c r="I17" i="1"/>
  <c r="I16" i="1"/>
  <c r="I15" i="1"/>
  <c r="I14" i="1"/>
  <c r="I13" i="1"/>
  <c r="I12" i="1"/>
  <c r="I11" i="1"/>
  <c r="F18" i="1"/>
  <c r="F17" i="1"/>
  <c r="F16" i="1"/>
  <c r="F15" i="1"/>
  <c r="F14" i="1"/>
  <c r="F13" i="1"/>
  <c r="F12" i="1"/>
  <c r="F11" i="1"/>
  <c r="C12" i="1"/>
  <c r="C13" i="1"/>
  <c r="C16" i="1"/>
  <c r="C17" i="1"/>
  <c r="C18" i="1"/>
  <c r="C11" i="1"/>
</calcChain>
</file>

<file path=xl/sharedStrings.xml><?xml version="1.0" encoding="utf-8"?>
<sst xmlns="http://schemas.openxmlformats.org/spreadsheetml/2006/main" count="8" uniqueCount="8">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</sst>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2" fillId="0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Sheet1!$B$11:$B$16</c:f>
              <c:numCache>
                <c:formatCode>General</c:formatCode>
                <c:ptCount val="6"/>
                <c:pt idx="0">
                  <c:v>0</c:v>
                </c:pt>
                <c:pt idx="1">
                  <c:v>5</c:v>
                </c:pt>
                <c:pt idx="2">
                  <c:v>12.5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</c:numCache>
            </c:numRef>
          </c:xVal>
          <c:yVal>
            <c:numRef>
              <c:f>Sheet1!$C$11:$C$16</c:f>
              <c:numCache>
                <c:formatCode>General</c:formatCode>
                <c:ptCount val="6"/>
                <c:pt idx="0">
                  <c:v>5.7333333333333326E-2</c:v>
                </c:pt>
                <c:pt idx="1">
                  <c:v>0.13100000000000001</c:v>
                </c:pt>
                <c:pt idx="2">
                  <c:v>0.22166666666666668</c:v>
                </c:pt>
                <c:pt idx="3">
                  <c:v>0.38150000000000001</c:v>
                </c:pt>
                <c:pt idx="4">
                  <c:v>0.61099999999999999</c:v>
                </c:pt>
                <c:pt idx="5">
                  <c:v>1.0263333333333333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E24-4173-8BE9-F6F0B5D1AE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6786848"/>
        <c:axId val="426788488"/>
      </c:scatterChart>
      <c:valAx>
        <c:axId val="426786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6788488"/>
        <c:crosses val="autoZero"/>
        <c:crossBetween val="midCat"/>
      </c:valAx>
      <c:valAx>
        <c:axId val="426788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67868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233362</xdr:colOff>
      <xdr:row>20</xdr:row>
      <xdr:rowOff>185737</xdr:rowOff>
    </xdr:from>
    <xdr:to>
      <xdr:col>8</xdr:col>
      <xdr:colOff>538162</xdr:colOff>
      <xdr:row>35</xdr:row>
      <xdr:rowOff>71437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3EA0105-A44F-4EE3-8656-D7E6009F82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AABAC-4888-457D-93F3-8B6A97AA4DD0}">
  <dimension ref="A1:N18"/>
  <sheetViews>
    <sheetView tabSelected="1" topLeftCell="A7" workbookViewId="0">
      <selection activeCell="L12" sqref="L12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5.8000000000000003E-2</v>
      </c>
      <c r="C2" s="3">
        <v>0.06</v>
      </c>
      <c r="D2" s="3">
        <v>5.3999999999999999E-2</v>
      </c>
      <c r="E2" s="3">
        <v>8.4000000000000005E-2</v>
      </c>
      <c r="F2" s="3">
        <v>8.3000000000000004E-2</v>
      </c>
      <c r="G2" s="3">
        <v>8.2000000000000003E-2</v>
      </c>
      <c r="H2" s="3">
        <v>6.6000000000000003E-2</v>
      </c>
      <c r="I2" s="3">
        <v>6.6000000000000003E-2</v>
      </c>
      <c r="J2" s="3">
        <v>6.3E-2</v>
      </c>
      <c r="K2" s="3">
        <v>0.34200000000000003</v>
      </c>
      <c r="L2" s="3">
        <v>0.29699999999999999</v>
      </c>
      <c r="M2" s="3">
        <v>0.255</v>
      </c>
      <c r="N2" s="4">
        <v>670</v>
      </c>
    </row>
    <row r="3" spans="1:14" x14ac:dyDescent="0.25">
      <c r="A3" s="2" t="s">
        <v>1</v>
      </c>
      <c r="B3" s="3">
        <v>0.151</v>
      </c>
      <c r="C3" s="3">
        <v>0.11899999999999999</v>
      </c>
      <c r="D3" s="3">
        <v>0.123</v>
      </c>
      <c r="E3" s="3">
        <v>6.2E-2</v>
      </c>
      <c r="F3" s="3">
        <v>6.4000000000000001E-2</v>
      </c>
      <c r="G3" s="3">
        <v>6.0999999999999999E-2</v>
      </c>
      <c r="H3" s="3">
        <v>6.0999999999999999E-2</v>
      </c>
      <c r="I3" s="3">
        <v>5.3999999999999999E-2</v>
      </c>
      <c r="J3" s="3">
        <v>5.8000000000000003E-2</v>
      </c>
      <c r="K3" s="3">
        <v>0.06</v>
      </c>
      <c r="L3" s="3">
        <v>5.8000000000000003E-2</v>
      </c>
      <c r="M3" s="3">
        <v>0.06</v>
      </c>
      <c r="N3" s="4">
        <v>670</v>
      </c>
    </row>
    <row r="4" spans="1:14" x14ac:dyDescent="0.25">
      <c r="A4" s="2" t="s">
        <v>2</v>
      </c>
      <c r="B4" s="3">
        <v>0.21199999999999999</v>
      </c>
      <c r="C4" s="3">
        <v>0.215</v>
      </c>
      <c r="D4" s="3">
        <v>0.23799999999999999</v>
      </c>
      <c r="E4" s="3">
        <v>0.113</v>
      </c>
      <c r="F4" s="3">
        <v>0.121</v>
      </c>
      <c r="G4" s="3">
        <v>0.11899999999999999</v>
      </c>
      <c r="H4" s="3">
        <v>6.8000000000000005E-2</v>
      </c>
      <c r="I4" s="3">
        <v>6.8000000000000005E-2</v>
      </c>
      <c r="J4" s="3">
        <v>6.3E-2</v>
      </c>
      <c r="K4" s="3">
        <v>0.39200000000000002</v>
      </c>
      <c r="L4" s="3">
        <v>0.33400000000000002</v>
      </c>
      <c r="M4" s="3">
        <v>0.38600000000000001</v>
      </c>
      <c r="N4" s="4">
        <v>670</v>
      </c>
    </row>
    <row r="5" spans="1:14" x14ac:dyDescent="0.25">
      <c r="A5" s="2" t="s">
        <v>3</v>
      </c>
      <c r="B5" s="3">
        <v>0.48699999999999999</v>
      </c>
      <c r="C5" s="3">
        <v>0.36899999999999999</v>
      </c>
      <c r="D5" s="3">
        <v>0.39400000000000002</v>
      </c>
      <c r="E5" s="3">
        <v>5.2999999999999999E-2</v>
      </c>
      <c r="F5" s="3">
        <v>5.2999999999999999E-2</v>
      </c>
      <c r="G5" s="3">
        <v>5.3999999999999999E-2</v>
      </c>
      <c r="H5" s="3">
        <v>0.443</v>
      </c>
      <c r="I5" s="3">
        <v>0.42</v>
      </c>
      <c r="J5" s="3">
        <v>0.41099999999999998</v>
      </c>
      <c r="K5" s="3">
        <v>0.39600000000000002</v>
      </c>
      <c r="L5" s="3">
        <v>0.374</v>
      </c>
      <c r="M5" s="3">
        <v>0.32900000000000001</v>
      </c>
      <c r="N5" s="4">
        <v>670</v>
      </c>
    </row>
    <row r="6" spans="1:14" x14ac:dyDescent="0.25">
      <c r="A6" s="2" t="s">
        <v>4</v>
      </c>
      <c r="B6" s="3">
        <v>0.73099999999999998</v>
      </c>
      <c r="C6" s="3">
        <v>0.60399999999999998</v>
      </c>
      <c r="D6" s="3">
        <v>0.61799999999999999</v>
      </c>
      <c r="E6" s="3">
        <v>6.6000000000000003E-2</v>
      </c>
      <c r="F6" s="3">
        <v>6.0999999999999999E-2</v>
      </c>
      <c r="G6" s="3">
        <v>6.3E-2</v>
      </c>
      <c r="H6" s="3">
        <v>6.8000000000000005E-2</v>
      </c>
      <c r="I6" s="3">
        <v>6.9000000000000006E-2</v>
      </c>
      <c r="J6" s="3">
        <v>6.7000000000000004E-2</v>
      </c>
      <c r="K6" s="3">
        <v>0.27700000000000002</v>
      </c>
      <c r="L6" s="3">
        <v>0.36699999999999999</v>
      </c>
      <c r="M6" s="3">
        <v>0.34799999999999998</v>
      </c>
      <c r="N6" s="4">
        <v>670</v>
      </c>
    </row>
    <row r="7" spans="1:14" x14ac:dyDescent="0.25">
      <c r="A7" s="2" t="s">
        <v>5</v>
      </c>
      <c r="B7" s="3">
        <v>1.0640000000000001</v>
      </c>
      <c r="C7" s="3">
        <v>1.046</v>
      </c>
      <c r="D7" s="3">
        <v>0.96899999999999997</v>
      </c>
      <c r="E7" s="3">
        <v>0.11600000000000001</v>
      </c>
      <c r="F7" s="3">
        <v>0.107</v>
      </c>
      <c r="G7" s="3">
        <v>0.128</v>
      </c>
      <c r="H7" s="3">
        <v>0.28000000000000003</v>
      </c>
      <c r="I7" s="3">
        <v>0.29599999999999999</v>
      </c>
      <c r="J7" s="3">
        <v>0.23599999999999999</v>
      </c>
      <c r="K7" s="3">
        <v>5.3999999999999999E-2</v>
      </c>
      <c r="L7" s="3">
        <v>5.7000000000000002E-2</v>
      </c>
      <c r="M7" s="3">
        <v>5.3999999999999999E-2</v>
      </c>
      <c r="N7" s="4">
        <v>670</v>
      </c>
    </row>
    <row r="8" spans="1:14" x14ac:dyDescent="0.25">
      <c r="A8" s="2" t="s">
        <v>6</v>
      </c>
      <c r="B8" s="3">
        <v>0.99199999999999999</v>
      </c>
      <c r="C8" s="3">
        <v>1.0449999999999999</v>
      </c>
      <c r="D8" s="3">
        <v>0.88700000000000001</v>
      </c>
      <c r="E8" s="3">
        <v>0.123</v>
      </c>
      <c r="F8" s="3">
        <v>0.13200000000000001</v>
      </c>
      <c r="G8" s="3">
        <v>0.13700000000000001</v>
      </c>
      <c r="H8" s="3">
        <v>5.8999999999999997E-2</v>
      </c>
      <c r="I8" s="3">
        <v>5.8999999999999997E-2</v>
      </c>
      <c r="J8" s="3">
        <v>5.6000000000000001E-2</v>
      </c>
      <c r="K8" s="3">
        <v>0.32600000000000001</v>
      </c>
      <c r="L8" s="3">
        <v>0.35199999999999998</v>
      </c>
      <c r="M8" s="3">
        <v>0.35099999999999998</v>
      </c>
      <c r="N8" s="4">
        <v>670</v>
      </c>
    </row>
    <row r="9" spans="1:14" x14ac:dyDescent="0.25">
      <c r="A9" s="2" t="s">
        <v>7</v>
      </c>
      <c r="B9" s="3">
        <v>1.048</v>
      </c>
      <c r="C9" s="3">
        <v>1.1279999999999999</v>
      </c>
      <c r="D9" s="3">
        <v>1.048</v>
      </c>
      <c r="E9" s="3">
        <v>0.151</v>
      </c>
      <c r="F9" s="3">
        <v>0.154</v>
      </c>
      <c r="G9" s="3">
        <v>0.158</v>
      </c>
      <c r="H9" s="3">
        <v>0.15</v>
      </c>
      <c r="I9" s="3">
        <v>0.158</v>
      </c>
      <c r="J9" s="3">
        <v>0.14099999999999999</v>
      </c>
      <c r="K9" s="3">
        <v>0.64500000000000002</v>
      </c>
      <c r="L9" s="3">
        <v>0.68500000000000005</v>
      </c>
      <c r="M9" s="3">
        <v>0.629</v>
      </c>
      <c r="N9" s="4">
        <v>670</v>
      </c>
    </row>
    <row r="11" spans="1:14" x14ac:dyDescent="0.25">
      <c r="B11" s="5">
        <v>0</v>
      </c>
      <c r="C11">
        <f>AVERAGE(B2:D2)</f>
        <v>5.7333333333333326E-2</v>
      </c>
      <c r="F11">
        <f>AVERAGE(E2:G2)</f>
        <v>8.3000000000000004E-2</v>
      </c>
      <c r="I11">
        <f>AVERAGE(H2:J2)</f>
        <v>6.5000000000000002E-2</v>
      </c>
      <c r="L11">
        <f>AVERAGE(K2:M2)</f>
        <v>0.29799999999999999</v>
      </c>
    </row>
    <row r="12" spans="1:14" x14ac:dyDescent="0.25">
      <c r="B12" s="5">
        <v>5</v>
      </c>
      <c r="C12">
        <f t="shared" ref="C12:C18" si="0">AVERAGE(B3:D3)</f>
        <v>0.13100000000000001</v>
      </c>
      <c r="F12">
        <f t="shared" ref="F12:F18" si="1">AVERAGE(E3:G3)</f>
        <v>6.2333333333333331E-2</v>
      </c>
      <c r="I12">
        <f t="shared" ref="I12:I18" si="2">AVERAGE(H3:J3)</f>
        <v>5.7666666666666665E-2</v>
      </c>
      <c r="L12">
        <f t="shared" ref="L12:L18" si="3">AVERAGE(K3:M3)</f>
        <v>5.9333333333333328E-2</v>
      </c>
    </row>
    <row r="13" spans="1:14" x14ac:dyDescent="0.25">
      <c r="B13" s="5">
        <v>12.5</v>
      </c>
      <c r="C13">
        <f t="shared" si="0"/>
        <v>0.22166666666666668</v>
      </c>
      <c r="F13">
        <f t="shared" si="1"/>
        <v>0.11766666666666666</v>
      </c>
      <c r="I13">
        <f t="shared" si="2"/>
        <v>6.6333333333333341E-2</v>
      </c>
      <c r="L13">
        <f t="shared" si="3"/>
        <v>0.3706666666666667</v>
      </c>
    </row>
    <row r="14" spans="1:14" x14ac:dyDescent="0.25">
      <c r="B14" s="5">
        <v>25</v>
      </c>
      <c r="C14">
        <f>AVERAGE(C5:D5)</f>
        <v>0.38150000000000001</v>
      </c>
      <c r="F14">
        <f t="shared" si="1"/>
        <v>5.3333333333333337E-2</v>
      </c>
      <c r="I14">
        <f t="shared" si="2"/>
        <v>0.42466666666666669</v>
      </c>
      <c r="L14">
        <f t="shared" si="3"/>
        <v>0.36633333333333334</v>
      </c>
    </row>
    <row r="15" spans="1:14" x14ac:dyDescent="0.25">
      <c r="B15" s="5">
        <v>50</v>
      </c>
      <c r="C15">
        <f>AVERAGE(C6:D6)</f>
        <v>0.61099999999999999</v>
      </c>
      <c r="F15">
        <f t="shared" si="1"/>
        <v>6.3333333333333339E-2</v>
      </c>
      <c r="I15">
        <f t="shared" si="2"/>
        <v>6.8000000000000005E-2</v>
      </c>
      <c r="L15">
        <f t="shared" si="3"/>
        <v>0.33066666666666666</v>
      </c>
    </row>
    <row r="16" spans="1:14" x14ac:dyDescent="0.25">
      <c r="B16" s="5">
        <v>100</v>
      </c>
      <c r="C16">
        <f t="shared" si="0"/>
        <v>1.0263333333333333</v>
      </c>
      <c r="F16">
        <f t="shared" si="1"/>
        <v>0.11699999999999999</v>
      </c>
      <c r="I16">
        <f t="shared" si="2"/>
        <v>0.27066666666666667</v>
      </c>
      <c r="L16">
        <f t="shared" si="3"/>
        <v>5.5E-2</v>
      </c>
    </row>
    <row r="17" spans="3:12" x14ac:dyDescent="0.25">
      <c r="C17">
        <f t="shared" si="0"/>
        <v>0.97466666666666668</v>
      </c>
      <c r="F17">
        <f t="shared" si="1"/>
        <v>0.13066666666666668</v>
      </c>
      <c r="I17">
        <f t="shared" si="2"/>
        <v>5.7999999999999996E-2</v>
      </c>
      <c r="L17">
        <f t="shared" si="3"/>
        <v>0.34299999999999997</v>
      </c>
    </row>
    <row r="18" spans="3:12" x14ac:dyDescent="0.25">
      <c r="C18">
        <f t="shared" si="0"/>
        <v>1.0746666666666667</v>
      </c>
      <c r="F18">
        <f t="shared" si="1"/>
        <v>0.15433333333333332</v>
      </c>
      <c r="I18">
        <f t="shared" si="2"/>
        <v>0.14966666666666664</v>
      </c>
      <c r="L18">
        <f t="shared" si="3"/>
        <v>0.65300000000000002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microplate</dc:creator>
  <cp:lastModifiedBy>microplate</cp:lastModifiedBy>
  <dcterms:created xsi:type="dcterms:W3CDTF">2025-05-29T17:46:57Z</dcterms:created>
  <dcterms:modified xsi:type="dcterms:W3CDTF">2025-05-29T17:48:40Z</dcterms:modified>
</cp:coreProperties>
</file>