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Sulfide Microplate\COMPASS\2025 May\Raw Data\"/>
    </mc:Choice>
  </mc:AlternateContent>
  <xr:revisionPtr revIDLastSave="0" documentId="13_ncr:1_{53B3AAF9-2C8A-4D2B-80FB-B43B085A2ADA}" xr6:coauthVersionLast="47" xr6:coauthVersionMax="47" xr10:uidLastSave="{00000000-0000-0000-0000-000000000000}"/>
  <bookViews>
    <workbookView xWindow="20955" yWindow="3375" windowWidth="16815" windowHeight="11025" xr2:uid="{CCD825CB-4F33-49C5-AA77-C070FBD15241}"/>
  </bookViews>
  <sheets>
    <sheet name="Sheet1" sheetId="1" r:id="rId1"/>
  </sheets>
  <definedNames>
    <definedName name="_xlnm._FilterDatabase" localSheetId="0" hidden="1">Sheet1!$O$1:$W$13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1" l="1"/>
  <c r="L13" i="1"/>
  <c r="L14" i="1"/>
  <c r="L15" i="1"/>
  <c r="L17" i="1"/>
  <c r="L12" i="1"/>
  <c r="I18" i="1"/>
  <c r="I17" i="1"/>
  <c r="I16" i="1"/>
  <c r="I15" i="1"/>
  <c r="I14" i="1"/>
  <c r="I13" i="1"/>
  <c r="I12" i="1"/>
  <c r="I11" i="1"/>
  <c r="F18" i="1"/>
  <c r="F17" i="1"/>
  <c r="F16" i="1"/>
  <c r="F15" i="1"/>
  <c r="F14" i="1"/>
  <c r="F13" i="1"/>
  <c r="F12" i="1"/>
  <c r="F11" i="1"/>
  <c r="C12" i="1"/>
  <c r="C13" i="1"/>
  <c r="C14" i="1"/>
  <c r="C15" i="1"/>
  <c r="C16" i="1"/>
  <c r="C17" i="1"/>
  <c r="C18" i="1"/>
  <c r="C11" i="1"/>
</calcChain>
</file>

<file path=xl/sharedStrings.xml><?xml version="1.0" encoding="utf-8"?>
<sst xmlns="http://schemas.openxmlformats.org/spreadsheetml/2006/main" count="24" uniqueCount="8">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</sst>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Sheet1!$K$12:$K$17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Sheet1!$L$12:$L$17</c:f>
              <c:numCache>
                <c:formatCode>General</c:formatCode>
                <c:ptCount val="6"/>
                <c:pt idx="0">
                  <c:v>5.566666666666667E-2</c:v>
                </c:pt>
                <c:pt idx="1">
                  <c:v>0.13666666666666669</c:v>
                </c:pt>
                <c:pt idx="2">
                  <c:v>0.2253333333333333</c:v>
                </c:pt>
                <c:pt idx="3">
                  <c:v>0.40599999999999997</c:v>
                </c:pt>
                <c:pt idx="4">
                  <c:v>0.64066666666666661</c:v>
                </c:pt>
                <c:pt idx="5">
                  <c:v>0.98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9F-4992-88CA-20F5DDE34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914472"/>
        <c:axId val="345118944"/>
      </c:scatterChart>
      <c:valAx>
        <c:axId val="342914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118944"/>
        <c:crosses val="autoZero"/>
        <c:crossBetween val="midCat"/>
      </c:valAx>
      <c:valAx>
        <c:axId val="34511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914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385762</xdr:colOff>
      <xdr:row>17</xdr:row>
      <xdr:rowOff>185737</xdr:rowOff>
    </xdr:from>
    <xdr:to>
      <xdr:col>11</xdr:col>
      <xdr:colOff>80962</xdr:colOff>
      <xdr:row>32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6FD94D-82A7-407F-AA8D-A64EFA20CC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AF557-4972-4F6B-8335-8CE82DBC4424}">
  <dimension ref="A1:AK19"/>
  <sheetViews>
    <sheetView tabSelected="1" workbookViewId="0">
      <selection activeCell="L16" sqref="L16"/>
    </sheetView>
  </sheetViews>
  <sheetFormatPr defaultRowHeight="15" x14ac:dyDescent="0.25"/>
  <sheetData>
    <row r="1" spans="1:37" x14ac:dyDescent="0.25">
      <c r="A1" s="1"/>
      <c r="B1" s="2">
        <v>12</v>
      </c>
      <c r="C1" s="2">
        <v>11</v>
      </c>
      <c r="D1" s="2">
        <v>10</v>
      </c>
      <c r="E1" s="2">
        <v>9</v>
      </c>
      <c r="F1" s="2">
        <v>8</v>
      </c>
      <c r="G1" s="2">
        <v>7</v>
      </c>
      <c r="H1" s="2">
        <v>6</v>
      </c>
      <c r="I1" s="2">
        <v>5</v>
      </c>
      <c r="J1" s="2">
        <v>4</v>
      </c>
      <c r="K1" s="2">
        <v>3</v>
      </c>
      <c r="L1" s="2">
        <v>2</v>
      </c>
      <c r="M1" s="2">
        <v>1</v>
      </c>
      <c r="O1" s="1"/>
      <c r="P1" s="2" t="s">
        <v>0</v>
      </c>
      <c r="Q1" s="2" t="s">
        <v>1</v>
      </c>
      <c r="R1" s="2" t="s">
        <v>2</v>
      </c>
      <c r="S1" s="2" t="s">
        <v>3</v>
      </c>
      <c r="T1" s="2" t="s">
        <v>4</v>
      </c>
      <c r="U1" s="2" t="s">
        <v>5</v>
      </c>
      <c r="V1" s="2" t="s">
        <v>6</v>
      </c>
      <c r="W1" s="2" t="s">
        <v>7</v>
      </c>
      <c r="Y1" s="1"/>
      <c r="Z1" s="2">
        <v>1</v>
      </c>
      <c r="AA1" s="2">
        <v>2</v>
      </c>
      <c r="AB1" s="2">
        <v>3</v>
      </c>
      <c r="AC1" s="2">
        <v>4</v>
      </c>
      <c r="AD1" s="2">
        <v>5</v>
      </c>
      <c r="AE1" s="2">
        <v>6</v>
      </c>
      <c r="AF1" s="2">
        <v>7</v>
      </c>
      <c r="AG1" s="2">
        <v>8</v>
      </c>
      <c r="AH1" s="2">
        <v>9</v>
      </c>
      <c r="AI1" s="2">
        <v>10</v>
      </c>
      <c r="AJ1" s="2">
        <v>11</v>
      </c>
      <c r="AK1" s="2">
        <v>12</v>
      </c>
    </row>
    <row r="2" spans="1:37" x14ac:dyDescent="0.25">
      <c r="A2" s="2" t="s">
        <v>0</v>
      </c>
      <c r="B2" s="3">
        <v>6.0999999999999999E-2</v>
      </c>
      <c r="C2" s="3">
        <v>6.2E-2</v>
      </c>
      <c r="D2" s="3">
        <v>0.06</v>
      </c>
      <c r="E2" s="3">
        <v>8.2000000000000003E-2</v>
      </c>
      <c r="F2" s="3">
        <v>7.3999999999999996E-2</v>
      </c>
      <c r="G2" s="3">
        <v>7.6999999999999999E-2</v>
      </c>
      <c r="H2" s="3">
        <v>0.06</v>
      </c>
      <c r="I2" s="3">
        <v>6.0999999999999999E-2</v>
      </c>
      <c r="J2" s="3">
        <v>5.0999999999999997E-2</v>
      </c>
      <c r="K2" s="3">
        <v>5.5E-2</v>
      </c>
      <c r="L2" s="3">
        <v>5.7000000000000002E-2</v>
      </c>
      <c r="M2" s="3">
        <v>5.5E-2</v>
      </c>
      <c r="N2" s="4">
        <v>670</v>
      </c>
      <c r="O2" s="2">
        <v>1</v>
      </c>
      <c r="P2" s="3">
        <v>5.5E-2</v>
      </c>
      <c r="Q2" s="3">
        <v>0.13200000000000001</v>
      </c>
      <c r="R2" s="3">
        <v>0.21299999999999999</v>
      </c>
      <c r="S2" s="3">
        <v>0.42399999999999999</v>
      </c>
      <c r="T2" s="3">
        <v>0.69599999999999995</v>
      </c>
      <c r="U2" s="3">
        <v>0.98299999999999998</v>
      </c>
      <c r="V2" s="3">
        <v>0.96799999999999997</v>
      </c>
      <c r="W2" s="3">
        <v>1.038</v>
      </c>
      <c r="Y2" s="2" t="s">
        <v>0</v>
      </c>
      <c r="Z2" s="3">
        <v>5.5E-2</v>
      </c>
      <c r="AA2" s="3">
        <v>5.7000000000000002E-2</v>
      </c>
      <c r="AB2" s="3">
        <v>5.5E-2</v>
      </c>
      <c r="AC2" s="3">
        <v>5.0999999999999997E-2</v>
      </c>
      <c r="AD2" s="3">
        <v>6.0999999999999999E-2</v>
      </c>
      <c r="AE2" s="3">
        <v>0.06</v>
      </c>
      <c r="AF2" s="3">
        <v>7.6999999999999999E-2</v>
      </c>
      <c r="AG2" s="3">
        <v>7.3999999999999996E-2</v>
      </c>
      <c r="AH2" s="3">
        <v>8.2000000000000003E-2</v>
      </c>
      <c r="AI2" s="3">
        <v>0.06</v>
      </c>
      <c r="AJ2" s="3">
        <v>6.2E-2</v>
      </c>
      <c r="AK2" s="3">
        <v>6.0999999999999999E-2</v>
      </c>
    </row>
    <row r="3" spans="1:37" x14ac:dyDescent="0.25">
      <c r="A3" s="2" t="s">
        <v>1</v>
      </c>
      <c r="B3" s="3">
        <v>0.193</v>
      </c>
      <c r="C3" s="3">
        <v>0.191</v>
      </c>
      <c r="D3" s="3">
        <v>0.2</v>
      </c>
      <c r="E3" s="3">
        <v>5.5E-2</v>
      </c>
      <c r="F3" s="3">
        <v>5.6000000000000001E-2</v>
      </c>
      <c r="G3" s="3">
        <v>5.7000000000000002E-2</v>
      </c>
      <c r="H3" s="3">
        <v>5.8000000000000003E-2</v>
      </c>
      <c r="I3" s="3">
        <v>5.6000000000000001E-2</v>
      </c>
      <c r="J3" s="3">
        <v>5.8999999999999997E-2</v>
      </c>
      <c r="K3" s="3">
        <v>0.13300000000000001</v>
      </c>
      <c r="L3" s="3">
        <v>0.14499999999999999</v>
      </c>
      <c r="M3" s="3">
        <v>0.13200000000000001</v>
      </c>
      <c r="N3" s="4">
        <v>670</v>
      </c>
      <c r="O3" s="2">
        <v>2</v>
      </c>
      <c r="P3" s="3">
        <v>5.7000000000000002E-2</v>
      </c>
      <c r="Q3" s="3">
        <v>0.14499999999999999</v>
      </c>
      <c r="R3" s="3">
        <v>0.22500000000000001</v>
      </c>
      <c r="S3" s="3">
        <v>0.36799999999999999</v>
      </c>
      <c r="T3" s="3">
        <v>0.64500000000000002</v>
      </c>
      <c r="U3" s="3">
        <v>0.97899999999999998</v>
      </c>
      <c r="V3" s="3">
        <v>0.97399999999999998</v>
      </c>
      <c r="W3" s="3">
        <v>0.91900000000000004</v>
      </c>
      <c r="Y3" s="2" t="s">
        <v>1</v>
      </c>
      <c r="Z3" s="3">
        <v>0.13200000000000001</v>
      </c>
      <c r="AA3" s="3">
        <v>0.14499999999999999</v>
      </c>
      <c r="AB3" s="3">
        <v>0.13300000000000001</v>
      </c>
      <c r="AC3" s="3">
        <v>5.8999999999999997E-2</v>
      </c>
      <c r="AD3" s="3">
        <v>5.6000000000000001E-2</v>
      </c>
      <c r="AE3" s="3">
        <v>5.8000000000000003E-2</v>
      </c>
      <c r="AF3" s="3">
        <v>5.7000000000000002E-2</v>
      </c>
      <c r="AG3" s="3">
        <v>5.6000000000000001E-2</v>
      </c>
      <c r="AH3" s="3">
        <v>5.5E-2</v>
      </c>
      <c r="AI3" s="3">
        <v>0.2</v>
      </c>
      <c r="AJ3" s="3">
        <v>0.191</v>
      </c>
      <c r="AK3" s="3">
        <v>0.193</v>
      </c>
    </row>
    <row r="4" spans="1:37" x14ac:dyDescent="0.25">
      <c r="A4" s="2" t="s">
        <v>2</v>
      </c>
      <c r="B4" s="3">
        <v>0.13500000000000001</v>
      </c>
      <c r="C4" s="3">
        <v>0.155</v>
      </c>
      <c r="D4" s="3">
        <v>0.157</v>
      </c>
      <c r="E4" s="3">
        <v>7.8E-2</v>
      </c>
      <c r="F4" s="3">
        <v>0.08</v>
      </c>
      <c r="G4" s="3">
        <v>0.08</v>
      </c>
      <c r="H4" s="3">
        <v>5.3999999999999999E-2</v>
      </c>
      <c r="I4" s="3">
        <v>5.3999999999999999E-2</v>
      </c>
      <c r="J4" s="3">
        <v>5.6000000000000001E-2</v>
      </c>
      <c r="K4" s="3">
        <v>0.23799999999999999</v>
      </c>
      <c r="L4" s="3">
        <v>0.22500000000000001</v>
      </c>
      <c r="M4" s="3">
        <v>0.21299999999999999</v>
      </c>
      <c r="N4" s="4">
        <v>670</v>
      </c>
      <c r="O4" s="2">
        <v>3</v>
      </c>
      <c r="P4" s="3">
        <v>5.5E-2</v>
      </c>
      <c r="Q4" s="3">
        <v>0.13300000000000001</v>
      </c>
      <c r="R4" s="3">
        <v>0.23799999999999999</v>
      </c>
      <c r="S4" s="3">
        <v>0.42599999999999999</v>
      </c>
      <c r="T4" s="3">
        <v>0.58099999999999996</v>
      </c>
      <c r="U4" s="3">
        <v>0.97799999999999998</v>
      </c>
      <c r="V4" s="3">
        <v>0.96799999999999997</v>
      </c>
      <c r="W4" s="3">
        <v>0.98</v>
      </c>
      <c r="Y4" s="2" t="s">
        <v>2</v>
      </c>
      <c r="Z4" s="3">
        <v>0.21299999999999999</v>
      </c>
      <c r="AA4" s="3">
        <v>0.22500000000000001</v>
      </c>
      <c r="AB4" s="3">
        <v>0.23799999999999999</v>
      </c>
      <c r="AC4" s="3">
        <v>5.6000000000000001E-2</v>
      </c>
      <c r="AD4" s="3">
        <v>5.3999999999999999E-2</v>
      </c>
      <c r="AE4" s="3">
        <v>5.3999999999999999E-2</v>
      </c>
      <c r="AF4" s="3">
        <v>0.08</v>
      </c>
      <c r="AG4" s="3">
        <v>0.08</v>
      </c>
      <c r="AH4" s="3">
        <v>7.8E-2</v>
      </c>
      <c r="AI4" s="3">
        <v>0.157</v>
      </c>
      <c r="AJ4" s="3">
        <v>0.155</v>
      </c>
      <c r="AK4" s="3">
        <v>0.13500000000000001</v>
      </c>
    </row>
    <row r="5" spans="1:37" x14ac:dyDescent="0.25">
      <c r="A5" s="2" t="s">
        <v>3</v>
      </c>
      <c r="B5" s="3">
        <v>0.34200000000000003</v>
      </c>
      <c r="C5" s="3">
        <v>0.308</v>
      </c>
      <c r="D5" s="3">
        <v>0.28299999999999997</v>
      </c>
      <c r="E5" s="3">
        <v>0.42299999999999999</v>
      </c>
      <c r="F5" s="3">
        <v>0.371</v>
      </c>
      <c r="G5" s="3">
        <v>0.41099999999999998</v>
      </c>
      <c r="H5" s="3">
        <v>6.0999999999999999E-2</v>
      </c>
      <c r="I5" s="3">
        <v>5.6000000000000001E-2</v>
      </c>
      <c r="J5" s="3">
        <v>5.8999999999999997E-2</v>
      </c>
      <c r="K5" s="3">
        <v>0.42599999999999999</v>
      </c>
      <c r="L5" s="3">
        <v>0.36799999999999999</v>
      </c>
      <c r="M5" s="3">
        <v>0.42399999999999999</v>
      </c>
      <c r="N5" s="4">
        <v>670</v>
      </c>
      <c r="O5" s="2">
        <v>4</v>
      </c>
      <c r="P5" s="3">
        <v>5.0999999999999997E-2</v>
      </c>
      <c r="Q5" s="3">
        <v>5.8999999999999997E-2</v>
      </c>
      <c r="R5" s="3">
        <v>5.6000000000000001E-2</v>
      </c>
      <c r="S5" s="3">
        <v>5.8999999999999997E-2</v>
      </c>
      <c r="T5" s="3">
        <v>5.3999999999999999E-2</v>
      </c>
      <c r="U5" s="3">
        <v>0.14299999999999999</v>
      </c>
      <c r="V5" s="3">
        <v>5.8000000000000003E-2</v>
      </c>
      <c r="W5" s="3">
        <v>0.06</v>
      </c>
      <c r="Y5" s="2" t="s">
        <v>3</v>
      </c>
      <c r="Z5" s="3">
        <v>0.42399999999999999</v>
      </c>
      <c r="AA5" s="3">
        <v>0.36799999999999999</v>
      </c>
      <c r="AB5" s="3">
        <v>0.42599999999999999</v>
      </c>
      <c r="AC5" s="3">
        <v>5.8999999999999997E-2</v>
      </c>
      <c r="AD5" s="3">
        <v>5.6000000000000001E-2</v>
      </c>
      <c r="AE5" s="3">
        <v>6.0999999999999999E-2</v>
      </c>
      <c r="AF5" s="3">
        <v>0.41099999999999998</v>
      </c>
      <c r="AG5" s="3">
        <v>0.371</v>
      </c>
      <c r="AH5" s="3">
        <v>0.42299999999999999</v>
      </c>
      <c r="AI5" s="3">
        <v>0.28299999999999997</v>
      </c>
      <c r="AJ5" s="3">
        <v>0.308</v>
      </c>
      <c r="AK5" s="3">
        <v>0.34200000000000003</v>
      </c>
    </row>
    <row r="6" spans="1:37" x14ac:dyDescent="0.25">
      <c r="A6" s="2" t="s">
        <v>4</v>
      </c>
      <c r="B6" s="3">
        <v>0.27400000000000002</v>
      </c>
      <c r="C6" s="3">
        <v>0.23899999999999999</v>
      </c>
      <c r="D6" s="3">
        <v>0.28299999999999997</v>
      </c>
      <c r="E6" s="3">
        <v>5.7000000000000002E-2</v>
      </c>
      <c r="F6" s="3">
        <v>5.8999999999999997E-2</v>
      </c>
      <c r="G6" s="3">
        <v>5.7000000000000002E-2</v>
      </c>
      <c r="H6" s="3">
        <v>5.5E-2</v>
      </c>
      <c r="I6" s="3">
        <v>5.6000000000000001E-2</v>
      </c>
      <c r="J6" s="3">
        <v>5.3999999999999999E-2</v>
      </c>
      <c r="K6" s="3">
        <v>0.58099999999999996</v>
      </c>
      <c r="L6" s="3">
        <v>0.64500000000000002</v>
      </c>
      <c r="M6" s="3">
        <v>0.69599999999999995</v>
      </c>
      <c r="N6" s="4">
        <v>670</v>
      </c>
      <c r="O6" s="2">
        <v>5</v>
      </c>
      <c r="P6" s="3">
        <v>6.0999999999999999E-2</v>
      </c>
      <c r="Q6" s="3">
        <v>5.6000000000000001E-2</v>
      </c>
      <c r="R6" s="3">
        <v>5.3999999999999999E-2</v>
      </c>
      <c r="S6" s="3">
        <v>5.6000000000000001E-2</v>
      </c>
      <c r="T6" s="3">
        <v>5.6000000000000001E-2</v>
      </c>
      <c r="U6" s="3">
        <v>0.13100000000000001</v>
      </c>
      <c r="V6" s="3">
        <v>5.5E-2</v>
      </c>
      <c r="W6" s="3">
        <v>5.8000000000000003E-2</v>
      </c>
      <c r="Y6" s="2" t="s">
        <v>4</v>
      </c>
      <c r="Z6" s="3">
        <v>0.69599999999999995</v>
      </c>
      <c r="AA6" s="3">
        <v>0.64500000000000002</v>
      </c>
      <c r="AB6" s="3">
        <v>0.58099999999999996</v>
      </c>
      <c r="AC6" s="3">
        <v>5.3999999999999999E-2</v>
      </c>
      <c r="AD6" s="3">
        <v>5.6000000000000001E-2</v>
      </c>
      <c r="AE6" s="3">
        <v>5.5E-2</v>
      </c>
      <c r="AF6" s="3">
        <v>5.7000000000000002E-2</v>
      </c>
      <c r="AG6" s="3">
        <v>5.8999999999999997E-2</v>
      </c>
      <c r="AH6" s="3">
        <v>5.7000000000000002E-2</v>
      </c>
      <c r="AI6" s="3">
        <v>0.28299999999999997</v>
      </c>
      <c r="AJ6" s="3">
        <v>0.23899999999999999</v>
      </c>
      <c r="AK6" s="3">
        <v>0.27400000000000002</v>
      </c>
    </row>
    <row r="7" spans="1:37" x14ac:dyDescent="0.25">
      <c r="A7" s="2" t="s">
        <v>5</v>
      </c>
      <c r="B7" s="3">
        <v>5.6000000000000001E-2</v>
      </c>
      <c r="C7" s="3">
        <v>5.2999999999999999E-2</v>
      </c>
      <c r="D7" s="3">
        <v>5.2999999999999999E-2</v>
      </c>
      <c r="E7" s="3">
        <v>6.6000000000000003E-2</v>
      </c>
      <c r="F7" s="3">
        <v>6.4000000000000001E-2</v>
      </c>
      <c r="G7" s="3">
        <v>6.7000000000000004E-2</v>
      </c>
      <c r="H7" s="3">
        <v>0.11700000000000001</v>
      </c>
      <c r="I7" s="3">
        <v>0.13100000000000001</v>
      </c>
      <c r="J7" s="3">
        <v>0.14299999999999999</v>
      </c>
      <c r="K7" s="3">
        <v>0.97799999999999998</v>
      </c>
      <c r="L7" s="3">
        <v>0.97899999999999998</v>
      </c>
      <c r="M7" s="3">
        <v>0.98299999999999998</v>
      </c>
      <c r="N7" s="4">
        <v>670</v>
      </c>
      <c r="O7" s="2">
        <v>6</v>
      </c>
      <c r="P7" s="3">
        <v>0.06</v>
      </c>
      <c r="Q7" s="3">
        <v>5.8000000000000003E-2</v>
      </c>
      <c r="R7" s="3">
        <v>5.3999999999999999E-2</v>
      </c>
      <c r="S7" s="3">
        <v>6.0999999999999999E-2</v>
      </c>
      <c r="T7" s="3">
        <v>5.5E-2</v>
      </c>
      <c r="U7" s="3">
        <v>0.11700000000000001</v>
      </c>
      <c r="V7" s="3">
        <v>5.8999999999999997E-2</v>
      </c>
      <c r="W7" s="3">
        <v>5.6000000000000001E-2</v>
      </c>
      <c r="Y7" s="2" t="s">
        <v>5</v>
      </c>
      <c r="Z7" s="3">
        <v>0.98299999999999998</v>
      </c>
      <c r="AA7" s="3">
        <v>0.97899999999999998</v>
      </c>
      <c r="AB7" s="3">
        <v>0.97799999999999998</v>
      </c>
      <c r="AC7" s="3">
        <v>0.14299999999999999</v>
      </c>
      <c r="AD7" s="3">
        <v>0.13100000000000001</v>
      </c>
      <c r="AE7" s="3">
        <v>0.11700000000000001</v>
      </c>
      <c r="AF7" s="3">
        <v>6.7000000000000004E-2</v>
      </c>
      <c r="AG7" s="3">
        <v>6.4000000000000001E-2</v>
      </c>
      <c r="AH7" s="3">
        <v>6.6000000000000003E-2</v>
      </c>
      <c r="AI7" s="3">
        <v>5.2999999999999999E-2</v>
      </c>
      <c r="AJ7" s="3">
        <v>5.2999999999999999E-2</v>
      </c>
      <c r="AK7" s="3">
        <v>5.6000000000000001E-2</v>
      </c>
    </row>
    <row r="8" spans="1:37" x14ac:dyDescent="0.25">
      <c r="A8" s="2" t="s">
        <v>6</v>
      </c>
      <c r="B8" s="3">
        <v>0.125</v>
      </c>
      <c r="C8" s="3">
        <v>0.13400000000000001</v>
      </c>
      <c r="D8" s="3">
        <v>0.13200000000000001</v>
      </c>
      <c r="E8" s="3">
        <v>8.5000000000000006E-2</v>
      </c>
      <c r="F8" s="3">
        <v>7.3999999999999996E-2</v>
      </c>
      <c r="G8" s="3">
        <v>8.4000000000000005E-2</v>
      </c>
      <c r="H8" s="3">
        <v>5.8999999999999997E-2</v>
      </c>
      <c r="I8" s="3">
        <v>5.5E-2</v>
      </c>
      <c r="J8" s="3">
        <v>5.8000000000000003E-2</v>
      </c>
      <c r="K8" s="3">
        <v>0.96799999999999997</v>
      </c>
      <c r="L8" s="3">
        <v>0.97399999999999998</v>
      </c>
      <c r="M8" s="3">
        <v>0.96799999999999997</v>
      </c>
      <c r="N8" s="4">
        <v>670</v>
      </c>
      <c r="O8" s="2">
        <v>7</v>
      </c>
      <c r="P8" s="3">
        <v>7.6999999999999999E-2</v>
      </c>
      <c r="Q8" s="3">
        <v>5.7000000000000002E-2</v>
      </c>
      <c r="R8" s="3">
        <v>0.08</v>
      </c>
      <c r="S8" s="3">
        <v>0.41099999999999998</v>
      </c>
      <c r="T8" s="3">
        <v>5.7000000000000002E-2</v>
      </c>
      <c r="U8" s="3">
        <v>6.7000000000000004E-2</v>
      </c>
      <c r="V8" s="3">
        <v>8.4000000000000005E-2</v>
      </c>
      <c r="W8" s="3">
        <v>7.1999999999999995E-2</v>
      </c>
      <c r="Y8" s="2" t="s">
        <v>6</v>
      </c>
      <c r="Z8" s="3">
        <v>0.96799999999999997</v>
      </c>
      <c r="AA8" s="3">
        <v>0.97399999999999998</v>
      </c>
      <c r="AB8" s="3">
        <v>0.96799999999999997</v>
      </c>
      <c r="AC8" s="3">
        <v>5.8000000000000003E-2</v>
      </c>
      <c r="AD8" s="3">
        <v>5.5E-2</v>
      </c>
      <c r="AE8" s="3">
        <v>5.8999999999999997E-2</v>
      </c>
      <c r="AF8" s="3">
        <v>8.4000000000000005E-2</v>
      </c>
      <c r="AG8" s="3">
        <v>7.3999999999999996E-2</v>
      </c>
      <c r="AH8" s="3">
        <v>8.5000000000000006E-2</v>
      </c>
      <c r="AI8" s="3">
        <v>0.13200000000000001</v>
      </c>
      <c r="AJ8" s="3">
        <v>0.13400000000000001</v>
      </c>
      <c r="AK8" s="3">
        <v>0.125</v>
      </c>
    </row>
    <row r="9" spans="1:37" x14ac:dyDescent="0.25">
      <c r="A9" s="2" t="s">
        <v>7</v>
      </c>
      <c r="B9" s="3">
        <v>0.61899999999999999</v>
      </c>
      <c r="C9" s="3">
        <v>0.55300000000000005</v>
      </c>
      <c r="D9" s="3">
        <v>0.65200000000000002</v>
      </c>
      <c r="E9" s="3">
        <v>6.8000000000000005E-2</v>
      </c>
      <c r="F9" s="3">
        <v>7.0000000000000007E-2</v>
      </c>
      <c r="G9" s="3">
        <v>7.1999999999999995E-2</v>
      </c>
      <c r="H9" s="3">
        <v>5.6000000000000001E-2</v>
      </c>
      <c r="I9" s="3">
        <v>5.8000000000000003E-2</v>
      </c>
      <c r="J9" s="3">
        <v>0.06</v>
      </c>
      <c r="K9" s="3">
        <v>0.98</v>
      </c>
      <c r="L9" s="3">
        <v>0.91900000000000004</v>
      </c>
      <c r="M9" s="3">
        <v>1.038</v>
      </c>
      <c r="N9" s="4">
        <v>670</v>
      </c>
      <c r="O9" s="2">
        <v>8</v>
      </c>
      <c r="P9" s="3">
        <v>7.3999999999999996E-2</v>
      </c>
      <c r="Q9" s="3">
        <v>5.6000000000000001E-2</v>
      </c>
      <c r="R9" s="3">
        <v>0.08</v>
      </c>
      <c r="S9" s="3">
        <v>0.371</v>
      </c>
      <c r="T9" s="3">
        <v>5.8999999999999997E-2</v>
      </c>
      <c r="U9" s="3">
        <v>6.4000000000000001E-2</v>
      </c>
      <c r="V9" s="3">
        <v>7.3999999999999996E-2</v>
      </c>
      <c r="W9" s="3">
        <v>7.0000000000000007E-2</v>
      </c>
      <c r="Y9" s="2" t="s">
        <v>7</v>
      </c>
      <c r="Z9" s="3">
        <v>1.038</v>
      </c>
      <c r="AA9" s="3">
        <v>0.91900000000000004</v>
      </c>
      <c r="AB9" s="3">
        <v>0.98</v>
      </c>
      <c r="AC9" s="3">
        <v>0.06</v>
      </c>
      <c r="AD9" s="3">
        <v>5.8000000000000003E-2</v>
      </c>
      <c r="AE9" s="3">
        <v>5.6000000000000001E-2</v>
      </c>
      <c r="AF9" s="3">
        <v>7.1999999999999995E-2</v>
      </c>
      <c r="AG9" s="3">
        <v>7.0000000000000007E-2</v>
      </c>
      <c r="AH9" s="3">
        <v>6.8000000000000005E-2</v>
      </c>
      <c r="AI9" s="3">
        <v>0.65200000000000002</v>
      </c>
      <c r="AJ9" s="3">
        <v>0.55300000000000005</v>
      </c>
      <c r="AK9" s="3">
        <v>0.61899999999999999</v>
      </c>
    </row>
    <row r="10" spans="1:37" x14ac:dyDescent="0.25">
      <c r="O10" s="2">
        <v>9</v>
      </c>
      <c r="P10" s="3">
        <v>8.2000000000000003E-2</v>
      </c>
      <c r="Q10" s="3">
        <v>5.5E-2</v>
      </c>
      <c r="R10" s="3">
        <v>7.8E-2</v>
      </c>
      <c r="S10" s="3">
        <v>0.42299999999999999</v>
      </c>
      <c r="T10" s="3">
        <v>5.7000000000000002E-2</v>
      </c>
      <c r="U10" s="3">
        <v>6.6000000000000003E-2</v>
      </c>
      <c r="V10" s="3">
        <v>8.5000000000000006E-2</v>
      </c>
      <c r="W10" s="3">
        <v>6.8000000000000005E-2</v>
      </c>
    </row>
    <row r="11" spans="1:37" x14ac:dyDescent="0.25">
      <c r="C11">
        <f>AVERAGE(B2:D2)</f>
        <v>6.0999999999999999E-2</v>
      </c>
      <c r="F11">
        <f>AVERAGE(E2:G2)</f>
        <v>7.7666666666666662E-2</v>
      </c>
      <c r="I11">
        <f>AVERAGE(H2:J2)</f>
        <v>5.7333333333333326E-2</v>
      </c>
      <c r="O11" s="2">
        <v>10</v>
      </c>
      <c r="P11" s="3">
        <v>0.06</v>
      </c>
      <c r="Q11" s="3">
        <v>0.2</v>
      </c>
      <c r="R11" s="3">
        <v>0.157</v>
      </c>
      <c r="S11" s="3">
        <v>0.28299999999999997</v>
      </c>
      <c r="T11" s="3">
        <v>0.28299999999999997</v>
      </c>
      <c r="U11" s="3">
        <v>5.2999999999999999E-2</v>
      </c>
      <c r="V11" s="3">
        <v>0.13200000000000001</v>
      </c>
      <c r="W11" s="3">
        <v>0.65200000000000002</v>
      </c>
    </row>
    <row r="12" spans="1:37" x14ac:dyDescent="0.25">
      <c r="B12" s="3"/>
      <c r="C12">
        <f t="shared" ref="C12:C18" si="0">AVERAGE(B3:D3)</f>
        <v>0.19466666666666668</v>
      </c>
      <c r="F12">
        <f t="shared" ref="F12:F18" si="1">AVERAGE(E3:G3)</f>
        <v>5.6000000000000001E-2</v>
      </c>
      <c r="I12">
        <f t="shared" ref="I12:I17" si="2">AVERAGE(H3:J3)</f>
        <v>5.7666666666666665E-2</v>
      </c>
      <c r="K12" s="5">
        <v>0</v>
      </c>
      <c r="L12">
        <f>AVERAGE(K2:M2)</f>
        <v>5.566666666666667E-2</v>
      </c>
      <c r="O12" s="2">
        <v>11</v>
      </c>
      <c r="P12" s="3">
        <v>6.2E-2</v>
      </c>
      <c r="Q12" s="3">
        <v>0.191</v>
      </c>
      <c r="R12" s="3">
        <v>0.155</v>
      </c>
      <c r="S12" s="3">
        <v>0.308</v>
      </c>
      <c r="T12" s="3">
        <v>0.23899999999999999</v>
      </c>
      <c r="U12" s="3">
        <v>5.2999999999999999E-2</v>
      </c>
      <c r="V12" s="3">
        <v>0.13400000000000001</v>
      </c>
      <c r="W12" s="3">
        <v>0.55300000000000005</v>
      </c>
    </row>
    <row r="13" spans="1:37" x14ac:dyDescent="0.25">
      <c r="B13" s="3"/>
      <c r="C13">
        <f t="shared" si="0"/>
        <v>0.14900000000000002</v>
      </c>
      <c r="F13">
        <f t="shared" si="1"/>
        <v>7.9333333333333325E-2</v>
      </c>
      <c r="I13">
        <f t="shared" si="2"/>
        <v>5.4666666666666669E-2</v>
      </c>
      <c r="K13" s="5">
        <v>5</v>
      </c>
      <c r="L13">
        <f t="shared" ref="L13:L17" si="3">AVERAGE(K3:M3)</f>
        <v>0.13666666666666669</v>
      </c>
      <c r="O13" s="2">
        <v>12</v>
      </c>
      <c r="P13" s="3">
        <v>6.0999999999999999E-2</v>
      </c>
      <c r="Q13" s="3">
        <v>0.193</v>
      </c>
      <c r="R13" s="3">
        <v>0.13500000000000001</v>
      </c>
      <c r="S13" s="3">
        <v>0.34200000000000003</v>
      </c>
      <c r="T13" s="3">
        <v>0.27400000000000002</v>
      </c>
      <c r="U13" s="3">
        <v>5.6000000000000001E-2</v>
      </c>
      <c r="V13" s="3">
        <v>0.125</v>
      </c>
      <c r="W13" s="3">
        <v>0.61899999999999999</v>
      </c>
    </row>
    <row r="14" spans="1:37" x14ac:dyDescent="0.25">
      <c r="B14" s="3"/>
      <c r="C14">
        <f t="shared" si="0"/>
        <v>0.311</v>
      </c>
      <c r="F14">
        <f t="shared" si="1"/>
        <v>0.40166666666666667</v>
      </c>
      <c r="I14">
        <f t="shared" si="2"/>
        <v>5.8666666666666666E-2</v>
      </c>
      <c r="K14" s="5">
        <v>12.5</v>
      </c>
      <c r="L14">
        <f t="shared" si="3"/>
        <v>0.2253333333333333</v>
      </c>
    </row>
    <row r="15" spans="1:37" x14ac:dyDescent="0.25">
      <c r="B15" s="3"/>
      <c r="C15">
        <f t="shared" si="0"/>
        <v>0.26533333333333337</v>
      </c>
      <c r="F15">
        <f t="shared" si="1"/>
        <v>5.7666666666666665E-2</v>
      </c>
      <c r="I15">
        <f t="shared" si="2"/>
        <v>5.5E-2</v>
      </c>
      <c r="K15" s="5">
        <v>25</v>
      </c>
      <c r="L15">
        <f t="shared" si="3"/>
        <v>0.40599999999999997</v>
      </c>
    </row>
    <row r="16" spans="1:37" x14ac:dyDescent="0.25">
      <c r="B16" s="3"/>
      <c r="C16">
        <f t="shared" si="0"/>
        <v>5.3999999999999999E-2</v>
      </c>
      <c r="F16">
        <f t="shared" si="1"/>
        <v>6.5666666666666665E-2</v>
      </c>
      <c r="I16">
        <f t="shared" si="2"/>
        <v>0.13033333333333333</v>
      </c>
      <c r="K16" s="5">
        <v>50</v>
      </c>
      <c r="L16">
        <f>AVERAGE(K6:M6)</f>
        <v>0.64066666666666661</v>
      </c>
    </row>
    <row r="17" spans="2:12" x14ac:dyDescent="0.25">
      <c r="B17" s="3"/>
      <c r="C17">
        <f t="shared" si="0"/>
        <v>0.13033333333333333</v>
      </c>
      <c r="F17">
        <f t="shared" si="1"/>
        <v>8.1000000000000003E-2</v>
      </c>
      <c r="I17">
        <f t="shared" si="2"/>
        <v>5.7333333333333326E-2</v>
      </c>
      <c r="K17" s="5">
        <v>100</v>
      </c>
      <c r="L17">
        <f t="shared" si="3"/>
        <v>0.98</v>
      </c>
    </row>
    <row r="18" spans="2:12" x14ac:dyDescent="0.25">
      <c r="B18" s="3"/>
      <c r="C18">
        <f t="shared" si="0"/>
        <v>0.6080000000000001</v>
      </c>
      <c r="F18">
        <f t="shared" si="1"/>
        <v>7.0000000000000007E-2</v>
      </c>
      <c r="I18">
        <f>AVERAGE(H9:J9)</f>
        <v>5.7999999999999996E-2</v>
      </c>
    </row>
    <row r="19" spans="2:12" x14ac:dyDescent="0.25">
      <c r="B19" s="3"/>
      <c r="C19" s="3"/>
    </row>
  </sheetData>
  <autoFilter ref="O1:W13" xr:uid="{0BBAF557-4972-4F6B-8335-8CE82DBC4424}">
    <sortState xmlns:xlrd2="http://schemas.microsoft.com/office/spreadsheetml/2017/richdata2" ref="O2:W18">
      <sortCondition ref="O1:O13"/>
    </sortState>
  </autoFilter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Giessner, Melanie</cp:lastModifiedBy>
  <dcterms:created xsi:type="dcterms:W3CDTF">2025-05-29T18:19:35Z</dcterms:created>
  <dcterms:modified xsi:type="dcterms:W3CDTF">2025-05-30T15:45:40Z</dcterms:modified>
</cp:coreProperties>
</file>