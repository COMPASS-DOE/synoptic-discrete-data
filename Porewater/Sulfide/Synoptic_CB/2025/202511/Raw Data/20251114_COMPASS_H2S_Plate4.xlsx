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COMPASS\H2S\"/>
    </mc:Choice>
  </mc:AlternateContent>
  <xr:revisionPtr revIDLastSave="0" documentId="13_ncr:1_{5835D530-99E6-418A-A676-CF6FD2AD0306}" xr6:coauthVersionLast="36" xr6:coauthVersionMax="36" xr10:uidLastSave="{00000000-0000-0000-0000-000000000000}"/>
  <bookViews>
    <workbookView xWindow="0" yWindow="0" windowWidth="18885" windowHeight="11640" xr2:uid="{77D8D9E1-1F09-4829-B78C-DF33517FD2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1" l="1"/>
  <c r="B18" i="1"/>
  <c r="B17" i="1"/>
  <c r="E12" i="1"/>
  <c r="E13" i="1"/>
  <c r="E14" i="1"/>
  <c r="E15" i="1"/>
  <c r="E16" i="1"/>
  <c r="E18" i="1"/>
  <c r="E11" i="1"/>
  <c r="H12" i="1"/>
  <c r="H13" i="1"/>
  <c r="H14" i="1"/>
  <c r="H15" i="1"/>
  <c r="H16" i="1"/>
  <c r="H17" i="1"/>
  <c r="H18" i="1"/>
  <c r="H11" i="1"/>
  <c r="L15" i="1"/>
  <c r="L12" i="1"/>
  <c r="L13" i="1"/>
  <c r="L14" i="1"/>
  <c r="L16" i="1"/>
  <c r="L17" i="1"/>
  <c r="L18" i="1"/>
  <c r="L11" i="1"/>
</calcChain>
</file>

<file path=xl/sharedStrings.xml><?xml version="1.0" encoding="utf-8"?>
<sst xmlns="http://schemas.openxmlformats.org/spreadsheetml/2006/main" count="8" uniqueCount="8">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</sst>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Sheet1!$K$11:$K$16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Sheet1!$L$11:$L$16</c:f>
              <c:numCache>
                <c:formatCode>General</c:formatCode>
                <c:ptCount val="6"/>
                <c:pt idx="0">
                  <c:v>6.6666666666666666E-2</c:v>
                </c:pt>
                <c:pt idx="1">
                  <c:v>0.13066666666666668</c:v>
                </c:pt>
                <c:pt idx="2">
                  <c:v>0.25800000000000001</c:v>
                </c:pt>
                <c:pt idx="3">
                  <c:v>0.36233333333333334</c:v>
                </c:pt>
                <c:pt idx="4">
                  <c:v>0.5645</c:v>
                </c:pt>
                <c:pt idx="5">
                  <c:v>0.98066666666666658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C3-407A-860D-F21FE46FF2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8148144"/>
        <c:axId val="438146176"/>
      </c:scatterChart>
      <c:valAx>
        <c:axId val="438148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146176"/>
        <c:crosses val="autoZero"/>
        <c:crossBetween val="midCat"/>
      </c:valAx>
      <c:valAx>
        <c:axId val="438146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148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66675</xdr:colOff>
      <xdr:row>19</xdr:row>
      <xdr:rowOff>109537</xdr:rowOff>
    </xdr:from>
    <xdr:to>
      <xdr:col>11</xdr:col>
      <xdr:colOff>371475</xdr:colOff>
      <xdr:row>33</xdr:row>
      <xdr:rowOff>185737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CB7292-D543-4CC2-A509-1EB55CEF75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12C6B-4F38-43F4-9E7F-C5B3BE0CBE86}">
  <dimension ref="A1:N18"/>
  <sheetViews>
    <sheetView tabSelected="1" workbookViewId="0">
      <selection activeCell="M15" sqref="M15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3.5999999999999997E-2</v>
      </c>
      <c r="C2" s="3">
        <v>5.5E-2</v>
      </c>
      <c r="D2" s="3">
        <v>5.3999999999999999E-2</v>
      </c>
      <c r="E2" s="3">
        <v>0.2</v>
      </c>
      <c r="F2" s="3">
        <v>0.23100000000000001</v>
      </c>
      <c r="G2" s="3">
        <v>0.187</v>
      </c>
      <c r="H2" s="3">
        <v>0.747</v>
      </c>
      <c r="I2" s="3">
        <v>0.751</v>
      </c>
      <c r="J2" s="3">
        <v>0.72199999999999998</v>
      </c>
      <c r="K2" s="3">
        <v>6.5000000000000002E-2</v>
      </c>
      <c r="L2" s="3">
        <v>6.6000000000000003E-2</v>
      </c>
      <c r="M2" s="3">
        <v>6.9000000000000006E-2</v>
      </c>
      <c r="N2" s="4">
        <v>670</v>
      </c>
    </row>
    <row r="3" spans="1:14" x14ac:dyDescent="0.25">
      <c r="A3" s="2" t="s">
        <v>1</v>
      </c>
      <c r="B3" s="3">
        <v>0.182</v>
      </c>
      <c r="C3" s="3">
        <v>0.13100000000000001</v>
      </c>
      <c r="D3" s="3">
        <v>0.108</v>
      </c>
      <c r="E3" s="3">
        <v>0.30299999999999999</v>
      </c>
      <c r="F3" s="3">
        <v>0.41</v>
      </c>
      <c r="G3" s="3">
        <v>0.317</v>
      </c>
      <c r="H3" s="3">
        <v>0.63300000000000001</v>
      </c>
      <c r="I3" s="3">
        <v>0.80900000000000005</v>
      </c>
      <c r="J3" s="3">
        <v>0.69199999999999995</v>
      </c>
      <c r="K3" s="3">
        <v>0.121</v>
      </c>
      <c r="L3" s="3">
        <v>0.14499999999999999</v>
      </c>
      <c r="M3" s="3">
        <v>0.126</v>
      </c>
      <c r="N3" s="4">
        <v>670</v>
      </c>
    </row>
    <row r="4" spans="1:14" x14ac:dyDescent="0.25">
      <c r="A4" s="2" t="s">
        <v>2</v>
      </c>
      <c r="B4" s="3">
        <v>0.20899999999999999</v>
      </c>
      <c r="C4" s="3">
        <v>0.19600000000000001</v>
      </c>
      <c r="D4" s="3">
        <v>0.20699999999999999</v>
      </c>
      <c r="E4" s="3">
        <v>0.27700000000000002</v>
      </c>
      <c r="F4" s="3">
        <v>0.27700000000000002</v>
      </c>
      <c r="G4" s="3">
        <v>0.317</v>
      </c>
      <c r="H4" s="3">
        <v>0.19500000000000001</v>
      </c>
      <c r="I4" s="3">
        <v>0.224</v>
      </c>
      <c r="J4" s="3">
        <v>0.26200000000000001</v>
      </c>
      <c r="K4" s="3">
        <v>0.25700000000000001</v>
      </c>
      <c r="L4" s="3">
        <v>0.27300000000000002</v>
      </c>
      <c r="M4" s="3">
        <v>0.24399999999999999</v>
      </c>
      <c r="N4" s="4">
        <v>670</v>
      </c>
    </row>
    <row r="5" spans="1:14" x14ac:dyDescent="0.25">
      <c r="A5" s="2" t="s">
        <v>3</v>
      </c>
      <c r="B5" s="3">
        <v>0.39100000000000001</v>
      </c>
      <c r="C5" s="3">
        <v>0.42699999999999999</v>
      </c>
      <c r="D5" s="3">
        <v>0.35</v>
      </c>
      <c r="E5" s="3">
        <v>0.48399999999999999</v>
      </c>
      <c r="F5" s="3">
        <v>0.57999999999999996</v>
      </c>
      <c r="G5" s="3">
        <v>0.38900000000000001</v>
      </c>
      <c r="H5" s="3">
        <v>0.44500000000000001</v>
      </c>
      <c r="I5" s="3">
        <v>0.36099999999999999</v>
      </c>
      <c r="J5" s="3">
        <v>0.38400000000000001</v>
      </c>
      <c r="K5" s="3">
        <v>0.29699999999999999</v>
      </c>
      <c r="L5" s="3">
        <v>0.376</v>
      </c>
      <c r="M5" s="3">
        <v>0.41399999999999998</v>
      </c>
      <c r="N5" s="4">
        <v>670</v>
      </c>
    </row>
    <row r="6" spans="1:14" x14ac:dyDescent="0.25">
      <c r="A6" s="2" t="s">
        <v>4</v>
      </c>
      <c r="B6" s="3">
        <v>0.61399999999999999</v>
      </c>
      <c r="C6" s="3">
        <v>0.68899999999999995</v>
      </c>
      <c r="D6" s="3">
        <v>0.74199999999999999</v>
      </c>
      <c r="E6" s="3">
        <v>0.23</v>
      </c>
      <c r="F6" s="3">
        <v>0.20899999999999999</v>
      </c>
      <c r="G6" s="3">
        <v>0.20100000000000001</v>
      </c>
      <c r="H6" s="3">
        <v>0.374</v>
      </c>
      <c r="I6" s="3">
        <v>0.39200000000000002</v>
      </c>
      <c r="J6" s="3">
        <v>0.38500000000000001</v>
      </c>
      <c r="K6" s="3">
        <v>0.66800000000000004</v>
      </c>
      <c r="L6" s="3">
        <v>0.56299999999999994</v>
      </c>
      <c r="M6" s="3">
        <v>0.56599999999999995</v>
      </c>
      <c r="N6" s="4">
        <v>670</v>
      </c>
    </row>
    <row r="7" spans="1:14" x14ac:dyDescent="0.25">
      <c r="A7" s="2" t="s">
        <v>5</v>
      </c>
      <c r="B7" s="3">
        <v>1.163</v>
      </c>
      <c r="C7" s="3">
        <v>1.1479999999999999</v>
      </c>
      <c r="D7" s="3">
        <v>1.0389999999999999</v>
      </c>
      <c r="E7" s="3">
        <v>0.59499999999999997</v>
      </c>
      <c r="F7" s="3">
        <v>0.497</v>
      </c>
      <c r="G7" s="3">
        <v>0.496</v>
      </c>
      <c r="H7" s="3">
        <v>0.42199999999999999</v>
      </c>
      <c r="I7" s="3">
        <v>0.35899999999999999</v>
      </c>
      <c r="J7" s="3">
        <v>0.32200000000000001</v>
      </c>
      <c r="K7" s="3">
        <v>0.98699999999999999</v>
      </c>
      <c r="L7" s="3">
        <v>0.97</v>
      </c>
      <c r="M7" s="3">
        <v>0.98499999999999999</v>
      </c>
      <c r="N7" s="4">
        <v>670</v>
      </c>
    </row>
    <row r="8" spans="1:14" x14ac:dyDescent="0.25">
      <c r="A8" s="2" t="s">
        <v>6</v>
      </c>
      <c r="B8" s="3">
        <v>0.88600000000000001</v>
      </c>
      <c r="C8" s="3">
        <v>0.94399999999999995</v>
      </c>
      <c r="D8" s="3">
        <v>0.96599999999999997</v>
      </c>
      <c r="E8" s="3">
        <v>0.88100000000000001</v>
      </c>
      <c r="F8" s="3">
        <v>1.0760000000000001</v>
      </c>
      <c r="G8" s="3">
        <v>0.97099999999999997</v>
      </c>
      <c r="H8" s="3">
        <v>0.27100000000000002</v>
      </c>
      <c r="I8" s="3">
        <v>0.28000000000000003</v>
      </c>
      <c r="J8" s="3">
        <v>0.26800000000000002</v>
      </c>
      <c r="K8" s="3">
        <v>7.0000000000000007E-2</v>
      </c>
      <c r="L8" s="3">
        <v>7.0000000000000007E-2</v>
      </c>
      <c r="M8" s="3">
        <v>6.8000000000000005E-2</v>
      </c>
      <c r="N8" s="4">
        <v>670</v>
      </c>
    </row>
    <row r="9" spans="1:14" x14ac:dyDescent="0.25">
      <c r="A9" s="2" t="s">
        <v>7</v>
      </c>
      <c r="B9" s="3">
        <v>1.012</v>
      </c>
      <c r="C9" s="3">
        <v>1.1000000000000001</v>
      </c>
      <c r="D9" s="3">
        <v>1.143</v>
      </c>
      <c r="E9" s="3">
        <v>1.0249999999999999</v>
      </c>
      <c r="F9" s="3">
        <v>1.121</v>
      </c>
      <c r="G9" s="3">
        <v>1.002</v>
      </c>
      <c r="H9" s="3">
        <v>0.64900000000000002</v>
      </c>
      <c r="I9" s="3">
        <v>0.65700000000000003</v>
      </c>
      <c r="J9" s="3">
        <v>0.59099999999999997</v>
      </c>
      <c r="K9" s="3">
        <v>7.0000000000000007E-2</v>
      </c>
      <c r="L9" s="3">
        <v>6.7000000000000004E-2</v>
      </c>
      <c r="M9" s="3">
        <v>6.6000000000000003E-2</v>
      </c>
      <c r="N9" s="4">
        <v>670</v>
      </c>
    </row>
    <row r="11" spans="1:14" x14ac:dyDescent="0.25">
      <c r="E11">
        <f>AVERAGE(E2:G2)</f>
        <v>0.20600000000000004</v>
      </c>
      <c r="H11">
        <f>AVERAGE(H2:J2)</f>
        <v>0.73999999999999988</v>
      </c>
      <c r="K11">
        <v>0</v>
      </c>
      <c r="L11">
        <f>AVERAGE(K2:M2)</f>
        <v>6.6666666666666666E-2</v>
      </c>
    </row>
    <row r="12" spans="1:14" x14ac:dyDescent="0.25">
      <c r="E12">
        <f t="shared" ref="E12:E18" si="0">AVERAGE(E3:G3)</f>
        <v>0.34333333333333332</v>
      </c>
      <c r="H12">
        <f t="shared" ref="H12:H18" si="1">AVERAGE(H3:J3)</f>
        <v>0.71133333333333348</v>
      </c>
      <c r="K12">
        <v>5</v>
      </c>
      <c r="L12">
        <f t="shared" ref="L12:L18" si="2">AVERAGE(K3:M3)</f>
        <v>0.13066666666666668</v>
      </c>
    </row>
    <row r="13" spans="1:14" x14ac:dyDescent="0.25">
      <c r="E13">
        <f t="shared" si="0"/>
        <v>0.29033333333333333</v>
      </c>
      <c r="H13">
        <f t="shared" si="1"/>
        <v>0.22700000000000001</v>
      </c>
      <c r="K13">
        <v>12.5</v>
      </c>
      <c r="L13">
        <f t="shared" si="2"/>
        <v>0.25800000000000001</v>
      </c>
    </row>
    <row r="14" spans="1:14" x14ac:dyDescent="0.25">
      <c r="E14">
        <f t="shared" si="0"/>
        <v>0.48433333333333334</v>
      </c>
      <c r="H14">
        <f t="shared" si="1"/>
        <v>0.39666666666666667</v>
      </c>
      <c r="K14">
        <v>25</v>
      </c>
      <c r="L14">
        <f t="shared" si="2"/>
        <v>0.36233333333333334</v>
      </c>
    </row>
    <row r="15" spans="1:14" x14ac:dyDescent="0.25">
      <c r="E15">
        <f t="shared" si="0"/>
        <v>0.21333333333333335</v>
      </c>
      <c r="H15">
        <f t="shared" si="1"/>
        <v>0.38366666666666666</v>
      </c>
      <c r="K15">
        <v>50</v>
      </c>
      <c r="L15">
        <f>AVERAGE(L6:M6)</f>
        <v>0.5645</v>
      </c>
    </row>
    <row r="16" spans="1:14" x14ac:dyDescent="0.25">
      <c r="E16">
        <f t="shared" si="0"/>
        <v>0.52933333333333332</v>
      </c>
      <c r="H16">
        <f t="shared" si="1"/>
        <v>0.36766666666666664</v>
      </c>
      <c r="K16">
        <v>100</v>
      </c>
      <c r="L16" s="5">
        <f t="shared" si="2"/>
        <v>0.98066666666666658</v>
      </c>
    </row>
    <row r="17" spans="2:12" x14ac:dyDescent="0.25">
      <c r="B17">
        <f>AVERAGE(B8:D8)</f>
        <v>0.93200000000000005</v>
      </c>
      <c r="E17" s="5">
        <f>AVERAGE(E8:G8)</f>
        <v>0.97599999999999998</v>
      </c>
      <c r="H17">
        <f t="shared" si="1"/>
        <v>0.27300000000000002</v>
      </c>
      <c r="L17">
        <f t="shared" si="2"/>
        <v>6.9333333333333344E-2</v>
      </c>
    </row>
    <row r="18" spans="2:12" x14ac:dyDescent="0.25">
      <c r="B18">
        <f>AVERAGE(B9:D9)</f>
        <v>1.085</v>
      </c>
      <c r="E18" s="5">
        <f t="shared" si="0"/>
        <v>1.0493333333333332</v>
      </c>
      <c r="H18">
        <f t="shared" si="1"/>
        <v>0.6323333333333333</v>
      </c>
      <c r="L18">
        <f t="shared" si="2"/>
        <v>6.7666666666666667E-2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2025-11-14T20:48:43Z</dcterms:created>
  <dcterms:modified xsi:type="dcterms:W3CDTF">2025-11-14T20:57:54Z</dcterms:modified>
</cp:coreProperties>
</file>