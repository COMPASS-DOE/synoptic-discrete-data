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net-my.sharepoint.com/personal/readz_si_edu1/Documents/synoptic-discrete-data/Porewater/Sulfide/Synoptic_CB/2023/Raw Data/"/>
    </mc:Choice>
  </mc:AlternateContent>
  <xr:revisionPtr revIDLastSave="135" documentId="13_ncr:1_{4B0E3FFA-5A27-4C59-B6BE-4DCE142CEFF5}" xr6:coauthVersionLast="47" xr6:coauthVersionMax="47" xr10:uidLastSave="{0E1987D3-9DFD-4B7A-B46C-21469AF698D2}"/>
  <bookViews>
    <workbookView xWindow="-120" yWindow="-120" windowWidth="29040" windowHeight="15720" activeTab="3" xr2:uid="{BFEEA0A9-30A3-45FE-8475-2FD233249056}"/>
  </bookViews>
  <sheets>
    <sheet name="STDs" sheetId="1" r:id="rId1"/>
    <sheet name="Plate1" sheetId="2" r:id="rId2"/>
    <sheet name="Plate2" sheetId="3" r:id="rId3"/>
    <sheet name="Plate3" sheetId="4" r:id="rId4"/>
    <sheet name="Plate4" sheetId="5" r:id="rId5"/>
    <sheet name="Plate5" sheetId="6" r:id="rId6"/>
    <sheet name="Plate6" sheetId="7" r:id="rId7"/>
    <sheet name="Plate7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1" l="1"/>
  <c r="B38" i="1"/>
  <c r="B28" i="1"/>
  <c r="B18" i="1"/>
  <c r="B16" i="1"/>
  <c r="B8" i="1"/>
  <c r="B5" i="1"/>
  <c r="B7" i="1"/>
  <c r="B4" i="1"/>
  <c r="B77" i="1"/>
  <c r="B76" i="1"/>
  <c r="B75" i="1"/>
  <c r="B74" i="1"/>
  <c r="B73" i="1"/>
  <c r="B72" i="1"/>
  <c r="B71" i="1"/>
  <c r="B70" i="1"/>
  <c r="B65" i="1"/>
  <c r="B64" i="1"/>
  <c r="B63" i="1"/>
  <c r="B61" i="1"/>
  <c r="B60" i="1"/>
  <c r="B59" i="1"/>
  <c r="B58" i="1"/>
  <c r="B54" i="1"/>
  <c r="B53" i="1"/>
  <c r="B52" i="1"/>
  <c r="B51" i="1"/>
  <c r="B50" i="1"/>
  <c r="B49" i="1"/>
  <c r="B48" i="1"/>
  <c r="B47" i="1"/>
  <c r="B43" i="1"/>
  <c r="B42" i="1"/>
  <c r="B41" i="1"/>
  <c r="B40" i="1"/>
  <c r="B39" i="1"/>
  <c r="B37" i="1"/>
  <c r="B36" i="1"/>
  <c r="B32" i="1"/>
  <c r="B31" i="1"/>
  <c r="B30" i="1"/>
  <c r="B29" i="1"/>
  <c r="B26" i="1"/>
  <c r="B25" i="1"/>
  <c r="B21" i="1"/>
  <c r="B20" i="1"/>
  <c r="B19" i="1"/>
  <c r="B17" i="1"/>
  <c r="B15" i="1"/>
  <c r="B14" i="1"/>
  <c r="B10" i="1"/>
  <c r="B9" i="1"/>
  <c r="B6" i="1"/>
  <c r="B3" i="1"/>
</calcChain>
</file>

<file path=xl/sharedStrings.xml><?xml version="1.0" encoding="utf-8"?>
<sst xmlns="http://schemas.openxmlformats.org/spreadsheetml/2006/main" count="537" uniqueCount="79">
  <si>
    <t>Plate 1</t>
  </si>
  <si>
    <t>Conc</t>
  </si>
  <si>
    <t>Avg Abs</t>
  </si>
  <si>
    <t>Abs1</t>
  </si>
  <si>
    <t>Abs 2</t>
  </si>
  <si>
    <t>Abs3</t>
  </si>
  <si>
    <t>Plate 2</t>
  </si>
  <si>
    <t>Plate 3</t>
  </si>
  <si>
    <t>Plate 4</t>
  </si>
  <si>
    <t>Plate 5</t>
  </si>
  <si>
    <t>Plate 6</t>
  </si>
  <si>
    <t>Plate 7</t>
  </si>
  <si>
    <t>A</t>
  </si>
  <si>
    <t>B</t>
  </si>
  <si>
    <t>C</t>
  </si>
  <si>
    <t>D</t>
  </si>
  <si>
    <t>E</t>
  </si>
  <si>
    <t>F</t>
  </si>
  <si>
    <t>G</t>
  </si>
  <si>
    <t>H</t>
  </si>
  <si>
    <t>IDs</t>
  </si>
  <si>
    <t>Std 0</t>
  </si>
  <si>
    <t>Std 1</t>
  </si>
  <si>
    <t>Std 2</t>
  </si>
  <si>
    <t>Std 3</t>
  </si>
  <si>
    <t>Std 4</t>
  </si>
  <si>
    <t>Std 5</t>
  </si>
  <si>
    <t>MC: 10ppt</t>
  </si>
  <si>
    <t>MC: 20ppt</t>
  </si>
  <si>
    <t>Dilutions</t>
  </si>
  <si>
    <t>GCW_UP_LysA_20cm</t>
  </si>
  <si>
    <t>GCW_TR_LysA_20cm</t>
  </si>
  <si>
    <t>GCW_TR_LysA_45cm</t>
  </si>
  <si>
    <t>GCW_TR_LysB_10cm</t>
  </si>
  <si>
    <t>GCW_TR_LysB_20cm</t>
  </si>
  <si>
    <t>GCW_TR_LysB_45cm</t>
  </si>
  <si>
    <t>GCW_TR_LysC_10cm</t>
  </si>
  <si>
    <t>GCW_TR_LysC_20cm</t>
  </si>
  <si>
    <t>GCW_TR_LysC_45cm</t>
  </si>
  <si>
    <t>GCW_WC_LysA_10cm</t>
  </si>
  <si>
    <t>GCW_WC_LysA_20cm</t>
  </si>
  <si>
    <t>GCW_WC_LysA_45cm</t>
  </si>
  <si>
    <t>GCW_WC_LysB_10cm</t>
  </si>
  <si>
    <t>GCW_WC_LysB_10cm_dup</t>
  </si>
  <si>
    <t>GCW_WC_LysB_20cm</t>
  </si>
  <si>
    <t>GCW_WC_LysB_20cm_spk</t>
  </si>
  <si>
    <t>GCW_WC_LysB_45cm</t>
  </si>
  <si>
    <t>GCW_WC_LysC_10cm</t>
  </si>
  <si>
    <t>GCW_WC_LysC_20cm</t>
  </si>
  <si>
    <t>GCW_WC_LysC_45cm</t>
  </si>
  <si>
    <t>GCW_SW_A</t>
  </si>
  <si>
    <t>GCW_SW_B</t>
  </si>
  <si>
    <t>GCW_SW_C</t>
  </si>
  <si>
    <t>MSM_UP_LysA_45cm</t>
  </si>
  <si>
    <t>MSM_UP_LysB_10cm</t>
  </si>
  <si>
    <t>MSM_UP_LysB_45cm</t>
  </si>
  <si>
    <t>MSM_UP_LysC_10cm</t>
  </si>
  <si>
    <t>MSM_UP_LysC_20cm</t>
  </si>
  <si>
    <t>MSM_UP_LysC_45cm</t>
  </si>
  <si>
    <t>MSM_TR_LysA_10cm</t>
  </si>
  <si>
    <t>MSM_TR_LysA_20cm</t>
  </si>
  <si>
    <t>MSM_TR_LysA_45cm</t>
  </si>
  <si>
    <t>MSM_TR_LysB_10cm</t>
  </si>
  <si>
    <t>MSM_TR_LysB_20cm</t>
  </si>
  <si>
    <t>MSM_TR_LysB_45cm</t>
  </si>
  <si>
    <t>MSM_TR_LysC_10cm</t>
  </si>
  <si>
    <t>MSM_TR_LysC_20cm</t>
  </si>
  <si>
    <t>MSM_TR_LysC_20cm_dup</t>
  </si>
  <si>
    <t>MSM_TR_LysC_45cm</t>
  </si>
  <si>
    <t>MSM_TR_LysC_45cm_spk</t>
  </si>
  <si>
    <t>MSM_WC_LysA_10cm</t>
  </si>
  <si>
    <t>MSM_WC_LysB_45cm</t>
  </si>
  <si>
    <t>MSM_WC_LysC_10cm</t>
  </si>
  <si>
    <t>MSM_WC_LysA_20cm</t>
  </si>
  <si>
    <t>MSM_WC_LysA_45cm</t>
  </si>
  <si>
    <t>MSM_WC_LysB_10cm</t>
  </si>
  <si>
    <t>MSM_WC_LysB_20cm</t>
  </si>
  <si>
    <t>MSM_WC_LysC_20cm</t>
  </si>
  <si>
    <t>MSM_WC_LysC_45cm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</si>
</sst>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sz val="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STDs!$B$2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054115250519059"/>
                  <c:y val="0.345473446077155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STDs!$A$3:$A$8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STDs!$B$3:$B$8</c:f>
              <c:numCache>
                <c:formatCode>General</c:formatCode>
                <c:ptCount val="6"/>
                <c:pt idx="0">
                  <c:v>5.2666666666666667E-2</c:v>
                </c:pt>
                <c:pt idx="1">
                  <c:v>0.17433333333333334</c:v>
                </c:pt>
                <c:pt idx="2">
                  <c:v>0.496</c:v>
                </c:pt>
                <c:pt idx="3">
                  <c:v>0.73466666666666669</c:v>
                </c:pt>
                <c:pt idx="4">
                  <c:v>1.2829999999999999</c:v>
                </c:pt>
                <c:pt idx="5">
                  <c:v>1.9710000000000001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00-438B-8E80-8E7836D0C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2871560"/>
        <c:axId val="533496784"/>
      </c:scatterChart>
      <c:valAx>
        <c:axId val="532871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496784"/>
        <c:crosses val="autoZero"/>
        <c:crossBetween val="midCat"/>
      </c:valAx>
      <c:valAx>
        <c:axId val="53349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871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4468248054558831"/>
          <c:y val="1.90023800356307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STDs!$B$13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466786234248997"/>
                  <c:y val="0.284465629133391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STDs!$A$14:$A$19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STDs!$B$14:$B$19</c:f>
              <c:numCache>
                <c:formatCode>General</c:formatCode>
                <c:ptCount val="6"/>
                <c:pt idx="0">
                  <c:v>5.2333333333333336E-2</c:v>
                </c:pt>
                <c:pt idx="1">
                  <c:v>0.18733333333333335</c:v>
                </c:pt>
                <c:pt idx="2">
                  <c:v>0.5665</c:v>
                </c:pt>
                <c:pt idx="3">
                  <c:v>0.66866666666666674</c:v>
                </c:pt>
                <c:pt idx="4">
                  <c:v>1.23</c:v>
                </c:pt>
                <c:pt idx="5">
                  <c:v>1.7130000000000001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76-4103-9468-3D6C7E6D3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63360"/>
        <c:axId val="552459760"/>
      </c:scatterChart>
      <c:valAx>
        <c:axId val="552463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59760"/>
        <c:crosses val="autoZero"/>
        <c:crossBetween val="midCat"/>
      </c:valAx>
      <c:valAx>
        <c:axId val="55245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63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STDs!$B$24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855266955221934"/>
                  <c:y val="0.329292336007668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STDs!$A$25:$A$32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STDs!$B$25:$B$32</c:f>
              <c:numCache>
                <c:formatCode>General</c:formatCode>
                <c:ptCount val="8"/>
                <c:pt idx="0">
                  <c:v>5.1999999999999998E-2</c:v>
                </c:pt>
                <c:pt idx="1">
                  <c:v>0.17733333333333334</c:v>
                </c:pt>
                <c:pt idx="3">
                  <c:v>0.57000000000000006</c:v>
                </c:pt>
                <c:pt idx="4">
                  <c:v>1.0415000000000001</c:v>
                </c:pt>
                <c:pt idx="5">
                  <c:v>1.6234999999999999</c:v>
                </c:pt>
                <c:pt idx="6">
                  <c:v>1.5263333333333333</c:v>
                </c:pt>
                <c:pt idx="7">
                  <c:v>1.5759999999999998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5E-4C12-ACFF-4EE75AA81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884144"/>
        <c:axId val="450886664"/>
      </c:scatterChart>
      <c:valAx>
        <c:axId val="450884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886664"/>
        <c:crosses val="autoZero"/>
        <c:crossBetween val="midCat"/>
      </c:valAx>
      <c:valAx>
        <c:axId val="450886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88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STDs!$B$35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696806649168854"/>
                  <c:y val="0.19600320793234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STDs!$A$36:$A$43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STDs!$B$36:$B$43</c:f>
              <c:numCache>
                <c:formatCode>General</c:formatCode>
                <c:ptCount val="8"/>
                <c:pt idx="0">
                  <c:v>5.5E-2</c:v>
                </c:pt>
                <c:pt idx="1">
                  <c:v>0.16633333333333333</c:v>
                </c:pt>
                <c:pt idx="2">
                  <c:v>0.57450000000000001</c:v>
                </c:pt>
                <c:pt idx="3">
                  <c:v>0.51600000000000001</c:v>
                </c:pt>
                <c:pt idx="4">
                  <c:v>1.1335</c:v>
                </c:pt>
                <c:pt idx="5">
                  <c:v>1.6326666666666665</c:v>
                </c:pt>
                <c:pt idx="6">
                  <c:v>1.6503333333333334</c:v>
                </c:pt>
                <c:pt idx="7">
                  <c:v>1.7290000000000001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46-42BC-BC66-899AD1D84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486704"/>
        <c:axId val="533487064"/>
      </c:scatterChart>
      <c:valAx>
        <c:axId val="533486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487064"/>
        <c:crosses val="autoZero"/>
        <c:crossBetween val="midCat"/>
      </c:valAx>
      <c:valAx>
        <c:axId val="533487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486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STDs!$B$46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585695538057743"/>
                  <c:y val="0.2079166666666666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STDs!$A$47:$A$54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STDs!$B$47:$B$54</c:f>
              <c:numCache>
                <c:formatCode>General</c:formatCode>
                <c:ptCount val="8"/>
                <c:pt idx="0">
                  <c:v>5.5333333333333325E-2</c:v>
                </c:pt>
                <c:pt idx="1">
                  <c:v>0.158</c:v>
                </c:pt>
                <c:pt idx="2">
                  <c:v>0.36866666666666664</c:v>
                </c:pt>
                <c:pt idx="3">
                  <c:v>0.65666666666666673</c:v>
                </c:pt>
                <c:pt idx="4">
                  <c:v>1.0549999999999999</c:v>
                </c:pt>
                <c:pt idx="5">
                  <c:v>1.7556666666666665</c:v>
                </c:pt>
                <c:pt idx="6">
                  <c:v>1.6950000000000001</c:v>
                </c:pt>
                <c:pt idx="7">
                  <c:v>1.766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31-4F36-8A39-EFA801B5E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959704"/>
        <c:axId val="209961144"/>
      </c:scatterChart>
      <c:valAx>
        <c:axId val="209959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61144"/>
        <c:crosses val="autoZero"/>
        <c:crossBetween val="midCat"/>
      </c:valAx>
      <c:valAx>
        <c:axId val="209961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59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STDs!$B$57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252362204724411"/>
                  <c:y val="0.1662500000000000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STDs!$A$58:$A$65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STDs!$B$58:$B$65</c:f>
              <c:numCache>
                <c:formatCode>General</c:formatCode>
                <c:ptCount val="8"/>
                <c:pt idx="0">
                  <c:v>5.4666666666666669E-2</c:v>
                </c:pt>
                <c:pt idx="1">
                  <c:v>0.20099999999999998</c:v>
                </c:pt>
                <c:pt idx="2">
                  <c:v>0.36499999999999999</c:v>
                </c:pt>
                <c:pt idx="3">
                  <c:v>0.75049999999999994</c:v>
                </c:pt>
                <c:pt idx="4">
                  <c:v>1.169</c:v>
                </c:pt>
                <c:pt idx="5">
                  <c:v>1.85</c:v>
                </c:pt>
                <c:pt idx="6">
                  <c:v>1.7309999999999999</c:v>
                </c:pt>
                <c:pt idx="7">
                  <c:v>1.8503333333333334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74-4657-9E5D-6FD84E588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515144"/>
        <c:axId val="384518384"/>
      </c:scatterChart>
      <c:valAx>
        <c:axId val="384515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518384"/>
        <c:crosses val="autoZero"/>
        <c:crossBetween val="midCat"/>
      </c:valAx>
      <c:valAx>
        <c:axId val="38451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515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STDs!$B$69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STDs!$A$70:$A$77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STDs!$B$70:$B$77</c:f>
              <c:numCache>
                <c:formatCode>General</c:formatCode>
                <c:ptCount val="8"/>
                <c:pt idx="0">
                  <c:v>5.2666666666666667E-2</c:v>
                </c:pt>
                <c:pt idx="1">
                  <c:v>0.19600000000000004</c:v>
                </c:pt>
                <c:pt idx="2">
                  <c:v>0.36266666666666669</c:v>
                </c:pt>
                <c:pt idx="3">
                  <c:v>0.62450000000000006</c:v>
                </c:pt>
                <c:pt idx="4">
                  <c:v>0.99550000000000005</c:v>
                </c:pt>
                <c:pt idx="5">
                  <c:v>1.6895</c:v>
                </c:pt>
                <c:pt idx="6">
                  <c:v>1.6336666666666666</c:v>
                </c:pt>
                <c:pt idx="7">
                  <c:v>1.72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F7-43ED-9E04-BA515E5B8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883064"/>
        <c:axId val="450884144"/>
      </c:scatterChart>
      <c:valAx>
        <c:axId val="450883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884144"/>
        <c:crosses val="autoZero"/>
        <c:crossBetween val="midCat"/>
      </c:valAx>
      <c:valAx>
        <c:axId val="45088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883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133350</xdr:colOff>
      <xdr:row>0</xdr:row>
      <xdr:rowOff>0</xdr:rowOff>
    </xdr:from>
    <xdr:to>
      <xdr:col>10</xdr:col>
      <xdr:colOff>276225</xdr:colOff>
      <xdr:row>11</xdr:row>
      <xdr:rowOff>33338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CBD656A-3E6A-02F8-9142-52C0FD7EF1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133350</xdr:colOff>
      <xdr:row>11</xdr:row>
      <xdr:rowOff>152400</xdr:rowOff>
    </xdr:from>
    <xdr:to>
      <xdr:col>10</xdr:col>
      <xdr:colOff>461962</xdr:colOff>
      <xdr:row>22</xdr:row>
      <xdr:rowOff>61912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28B72FA-3BD5-E5F2-2E4B-45265C2916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214312</xdr:colOff>
      <xdr:row>22</xdr:row>
      <xdr:rowOff>109537</xdr:rowOff>
    </xdr:from>
    <xdr:to>
      <xdr:col>10</xdr:col>
      <xdr:colOff>371475</xdr:colOff>
      <xdr:row>33</xdr:row>
      <xdr:rowOff>104775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D8B0131-FC9D-AB72-8139-4CA69614C9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185737</xdr:colOff>
      <xdr:row>34</xdr:row>
      <xdr:rowOff>52387</xdr:rowOff>
    </xdr:from>
    <xdr:to>
      <xdr:col>10</xdr:col>
      <xdr:colOff>361950</xdr:colOff>
      <xdr:row>45</xdr:row>
      <xdr:rowOff>95250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2E13B08-C1DB-87A0-D0DF-CF58555618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214312</xdr:colOff>
      <xdr:row>45</xdr:row>
      <xdr:rowOff>90487</xdr:rowOff>
    </xdr:from>
    <xdr:to>
      <xdr:col>10</xdr:col>
      <xdr:colOff>466725</xdr:colOff>
      <xdr:row>56</xdr:row>
      <xdr:rowOff>104775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59C24A8-CD8C-C0C4-42EC-C02ECAE657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176212</xdr:colOff>
      <xdr:row>57</xdr:row>
      <xdr:rowOff>23812</xdr:rowOff>
    </xdr:from>
    <xdr:to>
      <xdr:col>10</xdr:col>
      <xdr:colOff>504825</xdr:colOff>
      <xdr:row>67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D0522C31-3229-AAF0-FF5C-69F328815F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233362</xdr:colOff>
      <xdr:row>68</xdr:row>
      <xdr:rowOff>128587</xdr:rowOff>
    </xdr:from>
    <xdr:to>
      <xdr:col>11</xdr:col>
      <xdr:colOff>0</xdr:colOff>
      <xdr:row>80</xdr:row>
      <xdr:rowOff>123825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5B564ABA-FFF3-3E29-9D57-301CE53A88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49668-1376-4D76-A31D-1408950AD97D}">
  <dimension ref="A1:F91"/>
  <sheetViews>
    <sheetView topLeftCell="A49" workbookViewId="0">
      <selection activeCell="M80" sqref="M80"/>
    </sheetView>
  </sheetViews>
  <sheetFormatPr defaultRowHeight="15" x14ac:dyDescent="0.25"/>
  <sheetData>
    <row r="1" spans="1:5" x14ac:dyDescent="0.25">
      <c r="A1" s="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>
        <v>0</v>
      </c>
      <c r="B3">
        <f>AVERAGE(C3:E3)</f>
        <v>5.2666666666666667E-2</v>
      </c>
      <c r="C3" s="2">
        <v>4.9000000000000002E-2</v>
      </c>
      <c r="D3" s="2">
        <v>5.3999999999999999E-2</v>
      </c>
      <c r="E3" s="2">
        <v>5.5E-2</v>
      </c>
    </row>
    <row r="4" spans="1:5" x14ac:dyDescent="0.25">
      <c r="A4">
        <v>5</v>
      </c>
      <c r="B4">
        <f>AVERAGE(C4:E4)</f>
        <v>0.17433333333333334</v>
      </c>
      <c r="C4" s="2">
        <v>0.159</v>
      </c>
      <c r="D4" s="2">
        <v>0.154</v>
      </c>
      <c r="E4" s="2">
        <v>0.21</v>
      </c>
    </row>
    <row r="5" spans="1:5" x14ac:dyDescent="0.25">
      <c r="A5">
        <v>12.5</v>
      </c>
      <c r="B5">
        <f>AVERAGE(C5:D5)</f>
        <v>0.496</v>
      </c>
      <c r="C5" s="2">
        <v>0.51600000000000001</v>
      </c>
      <c r="D5" s="2">
        <v>0.47599999999999998</v>
      </c>
      <c r="E5" s="2">
        <v>0.6</v>
      </c>
    </row>
    <row r="6" spans="1:5" x14ac:dyDescent="0.25">
      <c r="A6">
        <v>25</v>
      </c>
      <c r="B6">
        <f>AVERAGE(C6:E6)</f>
        <v>0.73466666666666669</v>
      </c>
      <c r="C6" s="2">
        <v>0.73399999999999999</v>
      </c>
      <c r="D6" s="2">
        <v>0.70899999999999996</v>
      </c>
      <c r="E6" s="2">
        <v>0.76100000000000001</v>
      </c>
    </row>
    <row r="7" spans="1:5" x14ac:dyDescent="0.25">
      <c r="A7">
        <v>50</v>
      </c>
      <c r="B7">
        <f>AVERAGE(C7,E7)</f>
        <v>1.2829999999999999</v>
      </c>
      <c r="C7" s="2">
        <v>1.3360000000000001</v>
      </c>
      <c r="D7" s="2">
        <v>1.034</v>
      </c>
      <c r="E7" s="2">
        <v>1.23</v>
      </c>
    </row>
    <row r="8" spans="1:5" x14ac:dyDescent="0.25">
      <c r="A8">
        <v>100</v>
      </c>
      <c r="B8">
        <f>AVERAGE(C8:D8)</f>
        <v>1.9710000000000001</v>
      </c>
      <c r="C8" s="2">
        <v>1.855</v>
      </c>
      <c r="D8" s="2">
        <v>2.0870000000000002</v>
      </c>
      <c r="E8" s="2">
        <v>1.843</v>
      </c>
    </row>
    <row r="9" spans="1:5" x14ac:dyDescent="0.25">
      <c r="A9">
        <v>100</v>
      </c>
      <c r="B9" t="e">
        <f>AVERAGE(C9:E9)</f>
        <v>#DIV/0!</v>
      </c>
      <c r="C9" s="2"/>
      <c r="D9" s="2"/>
      <c r="E9" s="2"/>
    </row>
    <row r="10" spans="1:5" x14ac:dyDescent="0.25">
      <c r="A10">
        <v>100</v>
      </c>
      <c r="B10" t="e">
        <f>AVERAGE(C10:E10)</f>
        <v>#DIV/0!</v>
      </c>
      <c r="C10" s="2"/>
      <c r="D10" s="2"/>
      <c r="E10" s="2"/>
    </row>
    <row r="12" spans="1:5" x14ac:dyDescent="0.25">
      <c r="A12" s="1" t="s">
        <v>6</v>
      </c>
    </row>
    <row r="13" spans="1:5" x14ac:dyDescent="0.25">
      <c r="A13" t="s">
        <v>1</v>
      </c>
      <c r="B13" t="s">
        <v>2</v>
      </c>
      <c r="C13" t="s">
        <v>3</v>
      </c>
      <c r="D13" t="s">
        <v>4</v>
      </c>
      <c r="E13" t="s">
        <v>5</v>
      </c>
    </row>
    <row r="14" spans="1:5" x14ac:dyDescent="0.25">
      <c r="A14">
        <v>0</v>
      </c>
      <c r="B14">
        <f>AVERAGE(C14:E14)</f>
        <v>5.2333333333333336E-2</v>
      </c>
      <c r="C14" s="2">
        <v>5.1999999999999998E-2</v>
      </c>
      <c r="D14" s="2">
        <v>5.2999999999999999E-2</v>
      </c>
      <c r="E14" s="2">
        <v>5.1999999999999998E-2</v>
      </c>
    </row>
    <row r="15" spans="1:5" x14ac:dyDescent="0.25">
      <c r="A15">
        <v>5</v>
      </c>
      <c r="B15">
        <f>AVERAGE(C15:E15)</f>
        <v>0.18733333333333335</v>
      </c>
      <c r="C15" s="2">
        <v>0.187</v>
      </c>
      <c r="D15" s="2">
        <v>0.20300000000000001</v>
      </c>
      <c r="E15" s="2">
        <v>0.17199999999999999</v>
      </c>
    </row>
    <row r="16" spans="1:5" x14ac:dyDescent="0.25">
      <c r="A16">
        <v>12.5</v>
      </c>
      <c r="B16">
        <f>AVERAGE(C16:D16)</f>
        <v>0.5665</v>
      </c>
      <c r="C16" s="2">
        <v>0.56599999999999995</v>
      </c>
      <c r="D16" s="2">
        <v>0.56699999999999995</v>
      </c>
      <c r="E16" s="2">
        <v>0.95499999999999996</v>
      </c>
    </row>
    <row r="17" spans="1:5" x14ac:dyDescent="0.25">
      <c r="A17">
        <v>25</v>
      </c>
      <c r="B17">
        <f>AVERAGE(C17:E17)</f>
        <v>0.66866666666666674</v>
      </c>
      <c r="C17" s="2">
        <v>0.68799999999999994</v>
      </c>
      <c r="D17" s="2">
        <v>0.66300000000000003</v>
      </c>
      <c r="E17" s="2">
        <v>0.65500000000000003</v>
      </c>
    </row>
    <row r="18" spans="1:5" x14ac:dyDescent="0.25">
      <c r="A18">
        <v>50</v>
      </c>
      <c r="B18">
        <f>AVERAGE(D18:E18)</f>
        <v>1.23</v>
      </c>
      <c r="C18" s="2">
        <v>1.325</v>
      </c>
      <c r="D18" s="2">
        <v>1.2589999999999999</v>
      </c>
      <c r="E18" s="2">
        <v>1.2010000000000001</v>
      </c>
    </row>
    <row r="19" spans="1:5" x14ac:dyDescent="0.25">
      <c r="A19">
        <v>100</v>
      </c>
      <c r="B19">
        <f>AVERAGE(D19:E19)</f>
        <v>1.7130000000000001</v>
      </c>
      <c r="C19" s="2">
        <v>1.7130000000000001</v>
      </c>
      <c r="D19" s="2">
        <v>1.704</v>
      </c>
      <c r="E19" s="2">
        <v>1.722</v>
      </c>
    </row>
    <row r="20" spans="1:5" x14ac:dyDescent="0.25">
      <c r="A20">
        <v>100</v>
      </c>
      <c r="B20">
        <f>AVERAGE(C20:E20)</f>
        <v>1.5243333333333331</v>
      </c>
      <c r="C20" s="2">
        <v>1.6439999999999999</v>
      </c>
      <c r="D20" s="2">
        <v>1.411</v>
      </c>
      <c r="E20" s="2">
        <v>1.518</v>
      </c>
    </row>
    <row r="21" spans="1:5" x14ac:dyDescent="0.25">
      <c r="A21">
        <v>100</v>
      </c>
      <c r="B21">
        <f>AVERAGE(C21:E21)</f>
        <v>1.4936666666666667</v>
      </c>
      <c r="C21" s="2">
        <v>1.6739999999999999</v>
      </c>
      <c r="D21" s="2">
        <v>1.2969999999999999</v>
      </c>
      <c r="E21" s="2">
        <v>1.51</v>
      </c>
    </row>
    <row r="23" spans="1:5" x14ac:dyDescent="0.25">
      <c r="A23" s="1" t="s">
        <v>7</v>
      </c>
    </row>
    <row r="24" spans="1:5" x14ac:dyDescent="0.25">
      <c r="A24" t="s">
        <v>1</v>
      </c>
      <c r="B24" t="s">
        <v>2</v>
      </c>
      <c r="C24" t="s">
        <v>3</v>
      </c>
      <c r="D24" t="s">
        <v>4</v>
      </c>
      <c r="E24" t="s">
        <v>5</v>
      </c>
    </row>
    <row r="25" spans="1:5" x14ac:dyDescent="0.25">
      <c r="A25">
        <v>0</v>
      </c>
      <c r="B25">
        <f>AVERAGE(C25:E25)</f>
        <v>5.1999999999999998E-2</v>
      </c>
      <c r="C25" s="2">
        <v>0.05</v>
      </c>
      <c r="D25" s="2">
        <v>5.2999999999999999E-2</v>
      </c>
      <c r="E25" s="2">
        <v>5.2999999999999999E-2</v>
      </c>
    </row>
    <row r="26" spans="1:5" x14ac:dyDescent="0.25">
      <c r="A26">
        <v>5</v>
      </c>
      <c r="B26">
        <f>AVERAGE(C26:E26)</f>
        <v>0.17733333333333334</v>
      </c>
      <c r="C26" s="2">
        <v>0.188</v>
      </c>
      <c r="D26" s="2">
        <v>0.187</v>
      </c>
      <c r="E26" s="2">
        <v>0.157</v>
      </c>
    </row>
    <row r="27" spans="1:5" x14ac:dyDescent="0.25">
      <c r="A27">
        <v>12.5</v>
      </c>
      <c r="C27" s="2">
        <v>0.60399999999999998</v>
      </c>
      <c r="D27" s="2">
        <v>0.59199999999999997</v>
      </c>
      <c r="E27" s="2">
        <v>0.71399999999999997</v>
      </c>
    </row>
    <row r="28" spans="1:5" x14ac:dyDescent="0.25">
      <c r="A28">
        <v>25</v>
      </c>
      <c r="B28">
        <f>AVERAGE(D28,E28)</f>
        <v>0.57000000000000006</v>
      </c>
      <c r="C28" s="2">
        <v>1.0009999999999999</v>
      </c>
      <c r="D28" s="2">
        <v>0.59</v>
      </c>
      <c r="E28" s="2">
        <v>0.55000000000000004</v>
      </c>
    </row>
    <row r="29" spans="1:5" x14ac:dyDescent="0.25">
      <c r="A29">
        <v>50</v>
      </c>
      <c r="B29">
        <f>AVERAGE(C29:D29)</f>
        <v>1.0415000000000001</v>
      </c>
      <c r="C29" s="2">
        <v>1.0880000000000001</v>
      </c>
      <c r="D29" s="2">
        <v>0.995</v>
      </c>
      <c r="E29" s="2">
        <v>1.157</v>
      </c>
    </row>
    <row r="30" spans="1:5" x14ac:dyDescent="0.25">
      <c r="A30">
        <v>100</v>
      </c>
      <c r="B30">
        <f>AVERAGE(C30:D30)</f>
        <v>1.6234999999999999</v>
      </c>
      <c r="C30" s="2">
        <v>1.74</v>
      </c>
      <c r="D30" s="2">
        <v>1.5069999999999999</v>
      </c>
      <c r="E30" s="2">
        <v>1.653</v>
      </c>
    </row>
    <row r="31" spans="1:5" x14ac:dyDescent="0.25">
      <c r="A31">
        <v>100</v>
      </c>
      <c r="B31">
        <f>AVERAGE(C31:E31)</f>
        <v>1.5263333333333333</v>
      </c>
      <c r="C31" s="2">
        <v>1.5509999999999999</v>
      </c>
      <c r="D31" s="2">
        <v>1.575</v>
      </c>
      <c r="E31" s="2">
        <v>1.4530000000000001</v>
      </c>
    </row>
    <row r="32" spans="1:5" x14ac:dyDescent="0.25">
      <c r="A32">
        <v>100</v>
      </c>
      <c r="B32">
        <f>AVERAGE(C32:E32)</f>
        <v>1.5759999999999998</v>
      </c>
      <c r="C32" s="2">
        <v>1.5469999999999999</v>
      </c>
      <c r="D32" s="2">
        <v>1.583</v>
      </c>
      <c r="E32" s="2">
        <v>1.5980000000000001</v>
      </c>
    </row>
    <row r="34" spans="1:5" x14ac:dyDescent="0.25">
      <c r="A34" s="1" t="s">
        <v>8</v>
      </c>
    </row>
    <row r="35" spans="1:5" x14ac:dyDescent="0.25">
      <c r="A35" t="s">
        <v>1</v>
      </c>
      <c r="B35" t="s">
        <v>2</v>
      </c>
      <c r="C35" t="s">
        <v>3</v>
      </c>
      <c r="D35" t="s">
        <v>4</v>
      </c>
      <c r="E35" t="s">
        <v>5</v>
      </c>
    </row>
    <row r="36" spans="1:5" x14ac:dyDescent="0.25">
      <c r="A36">
        <v>0</v>
      </c>
      <c r="B36">
        <f>AVERAGE(C36:E36)</f>
        <v>5.5E-2</v>
      </c>
      <c r="C36" s="2">
        <v>5.3999999999999999E-2</v>
      </c>
      <c r="D36" s="2">
        <v>5.6000000000000001E-2</v>
      </c>
      <c r="E36" s="2">
        <v>5.5E-2</v>
      </c>
    </row>
    <row r="37" spans="1:5" x14ac:dyDescent="0.25">
      <c r="A37">
        <v>5</v>
      </c>
      <c r="B37">
        <f>AVERAGE(C37:E37)</f>
        <v>0.16633333333333333</v>
      </c>
      <c r="C37" s="2">
        <v>0.17299999999999999</v>
      </c>
      <c r="D37" s="2">
        <v>0.16500000000000001</v>
      </c>
      <c r="E37" s="2">
        <v>0.161</v>
      </c>
    </row>
    <row r="38" spans="1:5" x14ac:dyDescent="0.25">
      <c r="A38">
        <v>12.5</v>
      </c>
      <c r="B38">
        <f>AVERAGE(C38,E38)</f>
        <v>0.57450000000000001</v>
      </c>
      <c r="C38" s="2">
        <v>0.53600000000000003</v>
      </c>
      <c r="D38" s="2">
        <v>0.68500000000000005</v>
      </c>
      <c r="E38" s="2">
        <v>0.61299999999999999</v>
      </c>
    </row>
    <row r="39" spans="1:5" x14ac:dyDescent="0.25">
      <c r="A39">
        <v>25</v>
      </c>
      <c r="B39">
        <f>AVERAGE(C39,D39)</f>
        <v>0.51600000000000001</v>
      </c>
      <c r="C39" s="2">
        <v>0.48199999999999998</v>
      </c>
      <c r="D39" s="2">
        <v>0.55000000000000004</v>
      </c>
      <c r="E39" s="2">
        <v>0.69199999999999995</v>
      </c>
    </row>
    <row r="40" spans="1:5" x14ac:dyDescent="0.25">
      <c r="A40">
        <v>50</v>
      </c>
      <c r="B40">
        <f>AVERAGE(D40:E40)</f>
        <v>1.1335</v>
      </c>
      <c r="C40" s="2">
        <v>1.0329999999999999</v>
      </c>
      <c r="D40" s="2">
        <v>1.085</v>
      </c>
      <c r="E40" s="2">
        <v>1.1819999999999999</v>
      </c>
    </row>
    <row r="41" spans="1:5" x14ac:dyDescent="0.25">
      <c r="A41">
        <v>100</v>
      </c>
      <c r="B41">
        <f>AVERAGE(C41:E41)</f>
        <v>1.6326666666666665</v>
      </c>
      <c r="C41" s="2">
        <v>1.405</v>
      </c>
      <c r="D41" s="2">
        <v>1.647</v>
      </c>
      <c r="E41" s="2">
        <v>1.8460000000000001</v>
      </c>
    </row>
    <row r="42" spans="1:5" x14ac:dyDescent="0.25">
      <c r="A42">
        <v>100</v>
      </c>
      <c r="B42">
        <f>AVERAGE(C42:E42)</f>
        <v>1.6503333333333334</v>
      </c>
      <c r="C42" s="2">
        <v>1.6240000000000001</v>
      </c>
      <c r="D42" s="2">
        <v>1.7250000000000001</v>
      </c>
      <c r="E42" s="2">
        <v>1.6020000000000001</v>
      </c>
    </row>
    <row r="43" spans="1:5" x14ac:dyDescent="0.25">
      <c r="A43">
        <v>100</v>
      </c>
      <c r="B43">
        <f>AVERAGE(D43:E43)</f>
        <v>1.7290000000000001</v>
      </c>
      <c r="C43" s="2">
        <v>1.514</v>
      </c>
      <c r="D43" s="2">
        <v>1.4710000000000001</v>
      </c>
      <c r="E43" s="2">
        <v>1.9870000000000001</v>
      </c>
    </row>
    <row r="45" spans="1:5" x14ac:dyDescent="0.25">
      <c r="A45" s="1" t="s">
        <v>9</v>
      </c>
    </row>
    <row r="46" spans="1:5" x14ac:dyDescent="0.25">
      <c r="A46" t="s">
        <v>1</v>
      </c>
      <c r="B46" t="s">
        <v>2</v>
      </c>
      <c r="C46" t="s">
        <v>3</v>
      </c>
      <c r="D46" t="s">
        <v>4</v>
      </c>
      <c r="E46" t="s">
        <v>5</v>
      </c>
    </row>
    <row r="47" spans="1:5" x14ac:dyDescent="0.25">
      <c r="A47">
        <v>0</v>
      </c>
      <c r="B47">
        <f>AVERAGE(C47:E47)</f>
        <v>5.5333333333333325E-2</v>
      </c>
      <c r="C47" s="2">
        <v>5.3999999999999999E-2</v>
      </c>
      <c r="D47" s="2">
        <v>5.2999999999999999E-2</v>
      </c>
      <c r="E47" s="2">
        <v>5.8999999999999997E-2</v>
      </c>
    </row>
    <row r="48" spans="1:5" x14ac:dyDescent="0.25">
      <c r="A48">
        <v>5</v>
      </c>
      <c r="B48">
        <f>AVERAGE(C48:E48)</f>
        <v>0.158</v>
      </c>
      <c r="C48" s="2">
        <v>0.14699999999999999</v>
      </c>
      <c r="D48" s="2">
        <v>0.17299999999999999</v>
      </c>
      <c r="E48" s="2">
        <v>0.154</v>
      </c>
    </row>
    <row r="49" spans="1:5" x14ac:dyDescent="0.25">
      <c r="A49">
        <v>12.5</v>
      </c>
      <c r="B49">
        <f>AVERAGE(C49:E49)</f>
        <v>0.36866666666666664</v>
      </c>
      <c r="C49" s="2">
        <v>0.34599999999999997</v>
      </c>
      <c r="D49" s="2">
        <v>0.371</v>
      </c>
      <c r="E49" s="2">
        <v>0.38900000000000001</v>
      </c>
    </row>
    <row r="50" spans="1:5" x14ac:dyDescent="0.25">
      <c r="A50">
        <v>25</v>
      </c>
      <c r="B50">
        <f>AVERAGE(C50:E50)</f>
        <v>0.65666666666666673</v>
      </c>
      <c r="C50" s="2">
        <v>0.63600000000000001</v>
      </c>
      <c r="D50" s="2">
        <v>0.68600000000000005</v>
      </c>
      <c r="E50" s="2">
        <v>0.64800000000000002</v>
      </c>
    </row>
    <row r="51" spans="1:5" x14ac:dyDescent="0.25">
      <c r="A51">
        <v>50</v>
      </c>
      <c r="B51">
        <f>AVERAGE(C51,E51)</f>
        <v>1.0549999999999999</v>
      </c>
      <c r="C51" s="2">
        <v>1.095</v>
      </c>
      <c r="D51" s="2">
        <v>0.99299999999999999</v>
      </c>
      <c r="E51" s="2">
        <v>1.0149999999999999</v>
      </c>
    </row>
    <row r="52" spans="1:5" x14ac:dyDescent="0.25">
      <c r="A52">
        <v>100</v>
      </c>
      <c r="B52">
        <f>AVERAGE(C52:E52)</f>
        <v>1.7556666666666665</v>
      </c>
      <c r="C52" s="2">
        <v>1.819</v>
      </c>
      <c r="D52" s="2">
        <v>1.72</v>
      </c>
      <c r="E52" s="2">
        <v>1.728</v>
      </c>
    </row>
    <row r="53" spans="1:5" x14ac:dyDescent="0.25">
      <c r="A53">
        <v>100</v>
      </c>
      <c r="B53">
        <f>AVERAGE(C53:E53)</f>
        <v>1.6950000000000001</v>
      </c>
      <c r="C53" s="2">
        <v>1.669</v>
      </c>
      <c r="D53" s="2">
        <v>1.6479999999999999</v>
      </c>
      <c r="E53" s="2">
        <v>1.768</v>
      </c>
    </row>
    <row r="54" spans="1:5" x14ac:dyDescent="0.25">
      <c r="A54">
        <v>100</v>
      </c>
      <c r="B54">
        <f>AVERAGE(C54:E54)</f>
        <v>1.766</v>
      </c>
      <c r="C54" s="2">
        <v>1.681</v>
      </c>
      <c r="D54" s="2">
        <v>1.6859999999999999</v>
      </c>
      <c r="E54" s="2">
        <v>1.931</v>
      </c>
    </row>
    <row r="56" spans="1:5" x14ac:dyDescent="0.25">
      <c r="A56" s="1" t="s">
        <v>10</v>
      </c>
    </row>
    <row r="57" spans="1:5" x14ac:dyDescent="0.25">
      <c r="A57" t="s">
        <v>1</v>
      </c>
      <c r="B57" t="s">
        <v>2</v>
      </c>
      <c r="C57" t="s">
        <v>3</v>
      </c>
      <c r="D57" t="s">
        <v>4</v>
      </c>
      <c r="E57" t="s">
        <v>5</v>
      </c>
    </row>
    <row r="58" spans="1:5" x14ac:dyDescent="0.25">
      <c r="A58">
        <v>0</v>
      </c>
      <c r="B58">
        <f>AVERAGE(C58:E58)</f>
        <v>5.4666666666666669E-2</v>
      </c>
      <c r="C58" s="2">
        <v>5.5E-2</v>
      </c>
      <c r="D58" s="2">
        <v>5.5E-2</v>
      </c>
      <c r="E58" s="2">
        <v>5.3999999999999999E-2</v>
      </c>
    </row>
    <row r="59" spans="1:5" x14ac:dyDescent="0.25">
      <c r="A59">
        <v>5</v>
      </c>
      <c r="B59">
        <f>AVERAGE(C59:E59)</f>
        <v>0.20099999999999998</v>
      </c>
      <c r="C59" s="2">
        <v>0.183</v>
      </c>
      <c r="D59" s="2">
        <v>0.26100000000000001</v>
      </c>
      <c r="E59" s="2">
        <v>0.159</v>
      </c>
    </row>
    <row r="60" spans="1:5" x14ac:dyDescent="0.25">
      <c r="A60">
        <v>12.5</v>
      </c>
      <c r="B60">
        <f>AVERAGE(C60:E60)</f>
        <v>0.36499999999999999</v>
      </c>
      <c r="C60" s="2">
        <v>0.373</v>
      </c>
      <c r="D60" s="2">
        <v>0.314</v>
      </c>
      <c r="E60" s="2">
        <v>0.40799999999999997</v>
      </c>
    </row>
    <row r="61" spans="1:5" x14ac:dyDescent="0.25">
      <c r="A61">
        <v>25</v>
      </c>
      <c r="B61">
        <f>AVERAGE(C61:D61)</f>
        <v>0.75049999999999994</v>
      </c>
      <c r="C61" s="2">
        <v>0.68200000000000005</v>
      </c>
      <c r="D61" s="2">
        <v>0.81899999999999995</v>
      </c>
      <c r="E61" s="2">
        <v>0.81599999999999995</v>
      </c>
    </row>
    <row r="62" spans="1:5" x14ac:dyDescent="0.25">
      <c r="A62">
        <v>50</v>
      </c>
      <c r="B62">
        <f>AVERAGE(D62,E62)</f>
        <v>1.169</v>
      </c>
      <c r="C62" s="2">
        <v>1.3220000000000001</v>
      </c>
      <c r="D62" s="2">
        <v>1.266</v>
      </c>
      <c r="E62" s="2">
        <v>1.0720000000000001</v>
      </c>
    </row>
    <row r="63" spans="1:5" x14ac:dyDescent="0.25">
      <c r="A63">
        <v>100</v>
      </c>
      <c r="B63">
        <f>AVERAGE(C63,E63)</f>
        <v>1.85</v>
      </c>
      <c r="C63" s="2">
        <v>1.7809999999999999</v>
      </c>
      <c r="D63" s="2">
        <v>1.923</v>
      </c>
      <c r="E63" s="2">
        <v>1.919</v>
      </c>
    </row>
    <row r="64" spans="1:5" x14ac:dyDescent="0.25">
      <c r="A64">
        <v>100</v>
      </c>
      <c r="B64">
        <f>AVERAGE(C64:E64)</f>
        <v>1.7309999999999999</v>
      </c>
      <c r="C64" s="2">
        <v>1.746</v>
      </c>
      <c r="D64" s="2">
        <v>1.57</v>
      </c>
      <c r="E64" s="2">
        <v>1.877</v>
      </c>
    </row>
    <row r="65" spans="1:5" x14ac:dyDescent="0.25">
      <c r="A65">
        <v>100</v>
      </c>
      <c r="B65">
        <f>AVERAGE(C65:E65)</f>
        <v>1.8503333333333334</v>
      </c>
      <c r="C65" s="2">
        <v>1.915</v>
      </c>
      <c r="D65" s="2">
        <v>1.788</v>
      </c>
      <c r="E65" s="2">
        <v>1.8480000000000001</v>
      </c>
    </row>
    <row r="68" spans="1:5" x14ac:dyDescent="0.25">
      <c r="A68" s="1" t="s">
        <v>11</v>
      </c>
    </row>
    <row r="69" spans="1:5" x14ac:dyDescent="0.25">
      <c r="A69" t="s">
        <v>1</v>
      </c>
      <c r="B69" t="s">
        <v>2</v>
      </c>
      <c r="C69" t="s">
        <v>3</v>
      </c>
      <c r="D69" t="s">
        <v>4</v>
      </c>
      <c r="E69" t="s">
        <v>5</v>
      </c>
    </row>
    <row r="70" spans="1:5" x14ac:dyDescent="0.25">
      <c r="A70">
        <v>0</v>
      </c>
      <c r="B70">
        <f>AVERAGE(C70:E70)</f>
        <v>5.2666666666666667E-2</v>
      </c>
      <c r="C70" s="2">
        <v>0.05</v>
      </c>
      <c r="D70" s="2">
        <v>5.1999999999999998E-2</v>
      </c>
      <c r="E70" s="2">
        <v>5.6000000000000001E-2</v>
      </c>
    </row>
    <row r="71" spans="1:5" x14ac:dyDescent="0.25">
      <c r="A71">
        <v>5</v>
      </c>
      <c r="B71">
        <f>AVERAGE(C71:E71)</f>
        <v>0.19600000000000004</v>
      </c>
      <c r="C71" s="2">
        <v>0.20499999999999999</v>
      </c>
      <c r="D71" s="2">
        <v>0.185</v>
      </c>
      <c r="E71" s="2">
        <v>0.19800000000000001</v>
      </c>
    </row>
    <row r="72" spans="1:5" x14ac:dyDescent="0.25">
      <c r="A72">
        <v>12.5</v>
      </c>
      <c r="B72">
        <f>AVERAGE(C72:E72)</f>
        <v>0.36266666666666669</v>
      </c>
      <c r="C72" s="2">
        <v>0.373</v>
      </c>
      <c r="D72" s="2">
        <v>0.32900000000000001</v>
      </c>
      <c r="E72" s="2">
        <v>0.38600000000000001</v>
      </c>
    </row>
    <row r="73" spans="1:5" x14ac:dyDescent="0.25">
      <c r="A73">
        <v>25</v>
      </c>
      <c r="B73">
        <f>AVERAGE(D73:E73)</f>
        <v>0.62450000000000006</v>
      </c>
      <c r="C73" s="2">
        <v>0.66400000000000003</v>
      </c>
      <c r="D73" s="2">
        <v>0.63400000000000001</v>
      </c>
      <c r="E73" s="2">
        <v>0.61499999999999999</v>
      </c>
    </row>
    <row r="74" spans="1:5" x14ac:dyDescent="0.25">
      <c r="A74">
        <v>50</v>
      </c>
      <c r="B74">
        <f>AVERAGE(D74:E74)</f>
        <v>0.99550000000000005</v>
      </c>
      <c r="C74" s="2">
        <v>1.024</v>
      </c>
      <c r="D74" s="2">
        <v>0.98699999999999999</v>
      </c>
      <c r="E74" s="2">
        <v>1.004</v>
      </c>
    </row>
    <row r="75" spans="1:5" x14ac:dyDescent="0.25">
      <c r="A75">
        <v>100</v>
      </c>
      <c r="B75">
        <f>AVERAGE(C75:D75)</f>
        <v>1.6895</v>
      </c>
      <c r="C75" s="2">
        <v>1.83</v>
      </c>
      <c r="D75" s="2">
        <v>1.5489999999999999</v>
      </c>
      <c r="E75" s="2">
        <v>1.831</v>
      </c>
    </row>
    <row r="76" spans="1:5" x14ac:dyDescent="0.25">
      <c r="A76">
        <v>100</v>
      </c>
      <c r="B76">
        <f>AVERAGE(C76:E76)</f>
        <v>1.6336666666666666</v>
      </c>
      <c r="C76" s="2">
        <v>1.5820000000000001</v>
      </c>
      <c r="D76" s="2">
        <v>1.6479999999999999</v>
      </c>
      <c r="E76" s="2">
        <v>1.671</v>
      </c>
    </row>
    <row r="77" spans="1:5" x14ac:dyDescent="0.25">
      <c r="A77">
        <v>100</v>
      </c>
      <c r="B77">
        <f>AVERAGE(C77:E77)</f>
        <v>1.72</v>
      </c>
      <c r="C77" s="2">
        <v>1.764</v>
      </c>
      <c r="D77" s="2">
        <v>1.7190000000000001</v>
      </c>
      <c r="E77" s="2">
        <v>1.677</v>
      </c>
    </row>
    <row r="79" spans="1:5" x14ac:dyDescent="0.25">
      <c r="A79" s="9"/>
    </row>
    <row r="81" spans="3:6" x14ac:dyDescent="0.25">
      <c r="C81" s="7"/>
      <c r="D81" s="7"/>
      <c r="E81" s="7"/>
      <c r="F81" s="8"/>
    </row>
    <row r="82" spans="3:6" x14ac:dyDescent="0.25">
      <c r="C82" s="7"/>
      <c r="D82" s="7"/>
      <c r="E82" s="7"/>
      <c r="F82" s="8"/>
    </row>
    <row r="83" spans="3:6" x14ac:dyDescent="0.25">
      <c r="C83" s="7"/>
      <c r="D83" s="7"/>
      <c r="E83" s="7"/>
      <c r="F83" s="8"/>
    </row>
    <row r="84" spans="3:6" x14ac:dyDescent="0.25">
      <c r="C84" s="7"/>
      <c r="D84" s="7"/>
      <c r="E84" s="7"/>
      <c r="F84" s="8"/>
    </row>
    <row r="85" spans="3:6" x14ac:dyDescent="0.25">
      <c r="C85" s="7"/>
      <c r="D85" s="7"/>
      <c r="E85" s="7"/>
      <c r="F85" s="8"/>
    </row>
    <row r="86" spans="3:6" x14ac:dyDescent="0.25">
      <c r="C86" s="7"/>
      <c r="D86" s="7"/>
      <c r="E86" s="7"/>
      <c r="F86" s="8"/>
    </row>
    <row r="87" spans="3:6" x14ac:dyDescent="0.25">
      <c r="C87" s="7"/>
      <c r="D87" s="7"/>
      <c r="E87" s="7"/>
      <c r="F87" s="8"/>
    </row>
    <row r="88" spans="3:6" x14ac:dyDescent="0.25">
      <c r="C88" s="7"/>
      <c r="D88" s="7"/>
      <c r="E88" s="7"/>
      <c r="F88" s="8"/>
    </row>
    <row r="89" spans="3:6" x14ac:dyDescent="0.25">
      <c r="C89" s="8"/>
      <c r="D89" s="8"/>
      <c r="E89" s="8"/>
      <c r="F89" s="8"/>
    </row>
    <row r="90" spans="3:6" x14ac:dyDescent="0.25">
      <c r="C90" s="8"/>
      <c r="D90" s="8"/>
      <c r="E90" s="8"/>
      <c r="F90" s="8"/>
    </row>
    <row r="91" spans="3:6" x14ac:dyDescent="0.25">
      <c r="C91" s="8"/>
      <c r="D91" s="8"/>
      <c r="E91" s="8"/>
      <c r="F91" s="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ECCCC-34A0-4632-B626-4FB4D72C0998}">
  <dimension ref="A1:N29"/>
  <sheetViews>
    <sheetView workbookViewId="0">
      <selection activeCell="M19" sqref="M19"/>
    </sheetView>
  </sheetViews>
  <sheetFormatPr defaultRowHeight="15" x14ac:dyDescent="0.25"/>
  <cols>
    <col min="1" max="1" width="10.85546875" customWidth="1"/>
  </cols>
  <sheetData>
    <row r="1" spans="1:14" x14ac:dyDescent="0.25">
      <c r="A1" s="3"/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</row>
    <row r="2" spans="1:14" x14ac:dyDescent="0.25">
      <c r="A2" s="4" t="s">
        <v>12</v>
      </c>
      <c r="B2" s="2">
        <v>4.9000000000000002E-2</v>
      </c>
      <c r="C2" s="2">
        <v>5.3999999999999999E-2</v>
      </c>
      <c r="D2" s="2">
        <v>5.5E-2</v>
      </c>
      <c r="E2" s="2">
        <v>5.6000000000000001E-2</v>
      </c>
      <c r="F2" s="2">
        <v>5.3999999999999999E-2</v>
      </c>
      <c r="G2" s="2">
        <v>5.6000000000000001E-2</v>
      </c>
      <c r="H2" s="2">
        <v>0.15</v>
      </c>
      <c r="I2" s="2">
        <v>0.14299999999999999</v>
      </c>
      <c r="J2" s="2">
        <v>0.14000000000000001</v>
      </c>
      <c r="K2" s="2">
        <v>1.5409999999999999</v>
      </c>
      <c r="L2" s="2">
        <v>1.556</v>
      </c>
      <c r="M2" s="2">
        <v>1.66</v>
      </c>
      <c r="N2" s="5"/>
    </row>
    <row r="3" spans="1:14" x14ac:dyDescent="0.25">
      <c r="A3" s="4" t="s">
        <v>13</v>
      </c>
      <c r="B3" s="2">
        <v>0.159</v>
      </c>
      <c r="C3" s="2">
        <v>0.154</v>
      </c>
      <c r="D3" s="2">
        <v>0.21</v>
      </c>
      <c r="E3" s="2">
        <v>0.112</v>
      </c>
      <c r="F3" s="2">
        <v>0.121</v>
      </c>
      <c r="G3" s="2">
        <v>0.126</v>
      </c>
      <c r="H3" s="2">
        <v>1.365</v>
      </c>
      <c r="I3" s="2">
        <v>1.3260000000000001</v>
      </c>
      <c r="J3" s="2">
        <v>1.175</v>
      </c>
      <c r="K3" s="2">
        <v>1.4650000000000001</v>
      </c>
      <c r="L3" s="2">
        <v>1.2529999999999999</v>
      </c>
      <c r="M3" s="2">
        <v>1.3460000000000001</v>
      </c>
      <c r="N3" s="5"/>
    </row>
    <row r="4" spans="1:14" x14ac:dyDescent="0.25">
      <c r="A4" s="4" t="s">
        <v>14</v>
      </c>
      <c r="B4" s="2">
        <v>0.51600000000000001</v>
      </c>
      <c r="C4" s="2">
        <v>0.47599999999999998</v>
      </c>
      <c r="D4" s="2">
        <v>0.6</v>
      </c>
      <c r="E4" s="2">
        <v>9.0999999999999998E-2</v>
      </c>
      <c r="F4" s="2">
        <v>0.1</v>
      </c>
      <c r="G4" s="2">
        <v>0.1</v>
      </c>
      <c r="H4" s="2">
        <v>1.8</v>
      </c>
      <c r="I4" s="2">
        <v>1.675</v>
      </c>
      <c r="J4" s="2">
        <v>1.429</v>
      </c>
      <c r="K4" s="2">
        <v>1.3580000000000001</v>
      </c>
      <c r="L4" s="2">
        <v>1.143</v>
      </c>
      <c r="M4" s="2">
        <v>1.165</v>
      </c>
      <c r="N4" s="5"/>
    </row>
    <row r="5" spans="1:14" x14ac:dyDescent="0.25">
      <c r="A5" s="4" t="s">
        <v>15</v>
      </c>
      <c r="B5" s="2">
        <v>0.73399999999999999</v>
      </c>
      <c r="C5" s="2">
        <v>0.70899999999999996</v>
      </c>
      <c r="D5" s="2">
        <v>0.76100000000000001</v>
      </c>
      <c r="E5" s="2">
        <v>7.1999999999999995E-2</v>
      </c>
      <c r="F5" s="2">
        <v>7.2999999999999995E-2</v>
      </c>
      <c r="G5" s="2">
        <v>7.4999999999999997E-2</v>
      </c>
      <c r="H5" s="2">
        <v>1.766</v>
      </c>
      <c r="I5" s="2">
        <v>1.9550000000000001</v>
      </c>
      <c r="J5" s="2">
        <v>1.4970000000000001</v>
      </c>
      <c r="K5" s="2">
        <v>1.4359999999999999</v>
      </c>
      <c r="L5" s="2">
        <v>1.333</v>
      </c>
      <c r="M5" s="2">
        <v>1.2789999999999999</v>
      </c>
      <c r="N5" s="5"/>
    </row>
    <row r="6" spans="1:14" x14ac:dyDescent="0.25">
      <c r="A6" s="4" t="s">
        <v>16</v>
      </c>
      <c r="B6" s="2">
        <v>1.3360000000000001</v>
      </c>
      <c r="C6" s="2">
        <v>1.034</v>
      </c>
      <c r="D6" s="2">
        <v>1.23</v>
      </c>
      <c r="E6" s="2">
        <v>7.3999999999999996E-2</v>
      </c>
      <c r="F6" s="2">
        <v>7.2999999999999995E-2</v>
      </c>
      <c r="G6" s="2">
        <v>7.4999999999999997E-2</v>
      </c>
      <c r="H6" s="2">
        <v>1.863</v>
      </c>
      <c r="I6" s="2">
        <v>1.873</v>
      </c>
      <c r="J6" s="2">
        <v>1.6479999999999999</v>
      </c>
      <c r="K6" s="2">
        <v>5.7000000000000002E-2</v>
      </c>
      <c r="L6" s="2">
        <v>5.5E-2</v>
      </c>
      <c r="M6" s="2">
        <v>5.5E-2</v>
      </c>
      <c r="N6" s="5"/>
    </row>
    <row r="7" spans="1:14" x14ac:dyDescent="0.25">
      <c r="A7" s="4" t="s">
        <v>17</v>
      </c>
      <c r="B7" s="2">
        <v>1.855</v>
      </c>
      <c r="C7" s="2">
        <v>2.0870000000000002</v>
      </c>
      <c r="D7" s="2">
        <v>1.843</v>
      </c>
      <c r="E7" s="2">
        <v>5.8000000000000003E-2</v>
      </c>
      <c r="F7" s="2">
        <v>5.5E-2</v>
      </c>
      <c r="G7" s="2">
        <v>5.3999999999999999E-2</v>
      </c>
      <c r="H7" s="2">
        <v>1.956</v>
      </c>
      <c r="I7" s="2">
        <v>1.9319999999999999</v>
      </c>
      <c r="J7" s="2">
        <v>1.99</v>
      </c>
      <c r="K7" s="2">
        <v>5.6000000000000001E-2</v>
      </c>
      <c r="L7" s="2">
        <v>5.7000000000000002E-2</v>
      </c>
      <c r="M7" s="2">
        <v>5.3999999999999999E-2</v>
      </c>
      <c r="N7" s="5"/>
    </row>
    <row r="8" spans="1:14" x14ac:dyDescent="0.25">
      <c r="A8" s="4" t="s">
        <v>18</v>
      </c>
      <c r="B8" s="2">
        <v>6.4000000000000001E-2</v>
      </c>
      <c r="C8" s="2">
        <v>5.8999999999999997E-2</v>
      </c>
      <c r="D8" s="2">
        <v>5.2999999999999999E-2</v>
      </c>
      <c r="E8" s="2">
        <v>0.10299999999999999</v>
      </c>
      <c r="F8" s="2">
        <v>0.106</v>
      </c>
      <c r="G8" s="2">
        <v>0.104</v>
      </c>
      <c r="H8" s="2">
        <v>2.0329999999999999</v>
      </c>
      <c r="I8" s="2">
        <v>1.827</v>
      </c>
      <c r="J8" s="2">
        <v>1.766</v>
      </c>
      <c r="K8" s="2">
        <v>5.6000000000000001E-2</v>
      </c>
      <c r="L8" s="2">
        <v>5.6000000000000001E-2</v>
      </c>
      <c r="M8" s="2">
        <v>5.3999999999999999E-2</v>
      </c>
      <c r="N8" s="5"/>
    </row>
    <row r="9" spans="1:14" x14ac:dyDescent="0.25">
      <c r="A9" s="4" t="s">
        <v>19</v>
      </c>
      <c r="B9" s="2">
        <v>6.0999999999999999E-2</v>
      </c>
      <c r="C9" s="2">
        <v>0.06</v>
      </c>
      <c r="D9" s="2">
        <v>6.5000000000000002E-2</v>
      </c>
      <c r="E9" s="2">
        <v>0.107</v>
      </c>
      <c r="F9" s="2">
        <v>0.106</v>
      </c>
      <c r="G9" s="2">
        <v>0.107</v>
      </c>
      <c r="H9" s="2">
        <v>1.964</v>
      </c>
      <c r="I9" s="2">
        <v>1.8680000000000001</v>
      </c>
      <c r="J9" s="2">
        <v>2.1659999999999999</v>
      </c>
      <c r="K9" s="2">
        <v>5.5E-2</v>
      </c>
      <c r="L9" s="2">
        <v>0.06</v>
      </c>
      <c r="M9" s="2">
        <v>5.6000000000000001E-2</v>
      </c>
      <c r="N9" s="5"/>
    </row>
    <row r="11" spans="1:14" x14ac:dyDescent="0.25">
      <c r="A11" s="3" t="s">
        <v>20</v>
      </c>
      <c r="B11" s="4">
        <v>1</v>
      </c>
      <c r="C11" s="4">
        <v>2</v>
      </c>
      <c r="D11" s="4">
        <v>3</v>
      </c>
      <c r="E11" s="4">
        <v>4</v>
      </c>
      <c r="F11" s="4">
        <v>5</v>
      </c>
      <c r="G11" s="4">
        <v>6</v>
      </c>
      <c r="H11" s="4">
        <v>7</v>
      </c>
      <c r="I11" s="4">
        <v>8</v>
      </c>
      <c r="J11" s="4">
        <v>9</v>
      </c>
      <c r="K11" s="4">
        <v>10</v>
      </c>
      <c r="L11" s="4">
        <v>11</v>
      </c>
      <c r="M11" s="4">
        <v>12</v>
      </c>
    </row>
    <row r="12" spans="1:14" x14ac:dyDescent="0.25">
      <c r="A12" s="4" t="s">
        <v>12</v>
      </c>
      <c r="B12" s="6" t="s">
        <v>21</v>
      </c>
      <c r="C12" s="6" t="s">
        <v>21</v>
      </c>
      <c r="D12" s="6" t="s">
        <v>21</v>
      </c>
      <c r="E12" t="s">
        <v>30</v>
      </c>
      <c r="F12" t="s">
        <v>30</v>
      </c>
      <c r="G12" t="s">
        <v>30</v>
      </c>
      <c r="H12" t="s">
        <v>38</v>
      </c>
      <c r="I12" t="s">
        <v>38</v>
      </c>
      <c r="J12" t="s">
        <v>38</v>
      </c>
      <c r="K12" t="s">
        <v>46</v>
      </c>
      <c r="L12" t="s">
        <v>46</v>
      </c>
      <c r="M12" t="s">
        <v>46</v>
      </c>
    </row>
    <row r="13" spans="1:14" x14ac:dyDescent="0.25">
      <c r="A13" s="4" t="s">
        <v>13</v>
      </c>
      <c r="B13" s="6" t="s">
        <v>22</v>
      </c>
      <c r="C13" s="6" t="s">
        <v>22</v>
      </c>
      <c r="D13" s="6" t="s">
        <v>22</v>
      </c>
      <c r="E13" t="s">
        <v>31</v>
      </c>
      <c r="F13" t="s">
        <v>31</v>
      </c>
      <c r="G13" t="s">
        <v>31</v>
      </c>
      <c r="H13" t="s">
        <v>39</v>
      </c>
      <c r="I13" t="s">
        <v>39</v>
      </c>
      <c r="J13" t="s">
        <v>39</v>
      </c>
      <c r="K13" t="s">
        <v>47</v>
      </c>
      <c r="L13" t="s">
        <v>47</v>
      </c>
      <c r="M13" t="s">
        <v>47</v>
      </c>
    </row>
    <row r="14" spans="1:14" x14ac:dyDescent="0.25">
      <c r="A14" s="4" t="s">
        <v>14</v>
      </c>
      <c r="B14" s="6" t="s">
        <v>23</v>
      </c>
      <c r="C14" s="6" t="s">
        <v>23</v>
      </c>
      <c r="D14" s="6" t="s">
        <v>23</v>
      </c>
      <c r="E14" t="s">
        <v>32</v>
      </c>
      <c r="F14" t="s">
        <v>32</v>
      </c>
      <c r="G14" t="s">
        <v>32</v>
      </c>
      <c r="H14" t="s">
        <v>40</v>
      </c>
      <c r="I14" t="s">
        <v>40</v>
      </c>
      <c r="J14" t="s">
        <v>40</v>
      </c>
      <c r="K14" t="s">
        <v>48</v>
      </c>
      <c r="L14" t="s">
        <v>48</v>
      </c>
      <c r="M14" t="s">
        <v>48</v>
      </c>
    </row>
    <row r="15" spans="1:14" x14ac:dyDescent="0.25">
      <c r="A15" s="4" t="s">
        <v>15</v>
      </c>
      <c r="B15" s="6" t="s">
        <v>24</v>
      </c>
      <c r="C15" s="6" t="s">
        <v>24</v>
      </c>
      <c r="D15" s="6" t="s">
        <v>24</v>
      </c>
      <c r="E15" t="s">
        <v>33</v>
      </c>
      <c r="F15" t="s">
        <v>33</v>
      </c>
      <c r="G15" t="s">
        <v>33</v>
      </c>
      <c r="H15" t="s">
        <v>41</v>
      </c>
      <c r="I15" t="s">
        <v>41</v>
      </c>
      <c r="J15" t="s">
        <v>41</v>
      </c>
      <c r="K15" t="s">
        <v>49</v>
      </c>
      <c r="L15" t="s">
        <v>49</v>
      </c>
      <c r="M15" t="s">
        <v>49</v>
      </c>
    </row>
    <row r="16" spans="1:14" x14ac:dyDescent="0.25">
      <c r="A16" s="4" t="s">
        <v>16</v>
      </c>
      <c r="B16" s="6" t="s">
        <v>25</v>
      </c>
      <c r="C16" s="6" t="s">
        <v>25</v>
      </c>
      <c r="D16" s="6" t="s">
        <v>25</v>
      </c>
      <c r="E16" t="s">
        <v>34</v>
      </c>
      <c r="F16" t="s">
        <v>34</v>
      </c>
      <c r="G16" t="s">
        <v>34</v>
      </c>
      <c r="H16" t="s">
        <v>42</v>
      </c>
      <c r="I16" t="s">
        <v>42</v>
      </c>
      <c r="J16" t="s">
        <v>42</v>
      </c>
      <c r="K16" t="s">
        <v>50</v>
      </c>
      <c r="L16" t="s">
        <v>50</v>
      </c>
      <c r="M16" t="s">
        <v>50</v>
      </c>
    </row>
    <row r="17" spans="1:13" x14ac:dyDescent="0.25">
      <c r="A17" s="4" t="s">
        <v>17</v>
      </c>
      <c r="B17" s="6" t="s">
        <v>26</v>
      </c>
      <c r="C17" s="6" t="s">
        <v>26</v>
      </c>
      <c r="D17" s="6" t="s">
        <v>26</v>
      </c>
      <c r="E17" t="s">
        <v>35</v>
      </c>
      <c r="F17" t="s">
        <v>35</v>
      </c>
      <c r="G17" t="s">
        <v>35</v>
      </c>
      <c r="H17" t="s">
        <v>43</v>
      </c>
      <c r="I17" t="s">
        <v>43</v>
      </c>
      <c r="J17" t="s">
        <v>43</v>
      </c>
      <c r="K17" t="s">
        <v>51</v>
      </c>
      <c r="L17" t="s">
        <v>51</v>
      </c>
      <c r="M17" t="s">
        <v>51</v>
      </c>
    </row>
    <row r="18" spans="1:13" x14ac:dyDescent="0.25">
      <c r="A18" s="4" t="s">
        <v>18</v>
      </c>
      <c r="B18" s="6" t="s">
        <v>27</v>
      </c>
      <c r="C18" s="6" t="s">
        <v>27</v>
      </c>
      <c r="D18" s="6" t="s">
        <v>27</v>
      </c>
      <c r="E18" t="s">
        <v>36</v>
      </c>
      <c r="F18" t="s">
        <v>36</v>
      </c>
      <c r="G18" t="s">
        <v>36</v>
      </c>
      <c r="H18" t="s">
        <v>44</v>
      </c>
      <c r="I18" t="s">
        <v>44</v>
      </c>
      <c r="J18" t="s">
        <v>44</v>
      </c>
      <c r="K18" t="s">
        <v>52</v>
      </c>
      <c r="L18" t="s">
        <v>52</v>
      </c>
      <c r="M18" t="s">
        <v>52</v>
      </c>
    </row>
    <row r="19" spans="1:13" x14ac:dyDescent="0.25">
      <c r="A19" s="4" t="s">
        <v>19</v>
      </c>
      <c r="B19" s="6" t="s">
        <v>28</v>
      </c>
      <c r="C19" s="6" t="s">
        <v>28</v>
      </c>
      <c r="D19" s="6" t="s">
        <v>28</v>
      </c>
      <c r="E19" t="s">
        <v>37</v>
      </c>
      <c r="F19" t="s">
        <v>37</v>
      </c>
      <c r="G19" t="s">
        <v>37</v>
      </c>
      <c r="H19" t="s">
        <v>45</v>
      </c>
      <c r="I19" t="s">
        <v>45</v>
      </c>
      <c r="J19" t="s">
        <v>45</v>
      </c>
      <c r="K19" t="s">
        <v>53</v>
      </c>
      <c r="L19" t="s">
        <v>53</v>
      </c>
      <c r="M19" t="s">
        <v>53</v>
      </c>
    </row>
    <row r="21" spans="1:13" ht="30" x14ac:dyDescent="0.25">
      <c r="A21" s="3" t="s">
        <v>29</v>
      </c>
      <c r="B21" s="4">
        <v>1</v>
      </c>
      <c r="C21" s="4">
        <v>2</v>
      </c>
      <c r="D21" s="4">
        <v>3</v>
      </c>
      <c r="E21" s="4">
        <v>4</v>
      </c>
      <c r="F21" s="4">
        <v>5</v>
      </c>
      <c r="G21" s="4">
        <v>6</v>
      </c>
      <c r="H21" s="4">
        <v>7</v>
      </c>
      <c r="I21" s="4">
        <v>8</v>
      </c>
      <c r="J21" s="4">
        <v>9</v>
      </c>
      <c r="K21" s="4">
        <v>10</v>
      </c>
      <c r="L21" s="4">
        <v>11</v>
      </c>
      <c r="M21" s="4">
        <v>12</v>
      </c>
    </row>
    <row r="22" spans="1:13" x14ac:dyDescent="0.25">
      <c r="A22" s="4" t="s">
        <v>12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25</v>
      </c>
      <c r="L22" s="2">
        <v>25</v>
      </c>
      <c r="M22" s="2">
        <v>25</v>
      </c>
    </row>
    <row r="23" spans="1:13" x14ac:dyDescent="0.25">
      <c r="A23" s="4" t="s">
        <v>13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25</v>
      </c>
      <c r="I23" s="2">
        <v>25</v>
      </c>
      <c r="J23" s="2">
        <v>25</v>
      </c>
      <c r="K23" s="2">
        <v>25</v>
      </c>
      <c r="L23" s="2">
        <v>25</v>
      </c>
      <c r="M23" s="2">
        <v>25</v>
      </c>
    </row>
    <row r="24" spans="1:13" x14ac:dyDescent="0.25">
      <c r="A24" s="4" t="s">
        <v>14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25</v>
      </c>
      <c r="I24" s="2">
        <v>25</v>
      </c>
      <c r="J24" s="2">
        <v>25</v>
      </c>
      <c r="K24" s="2">
        <v>25</v>
      </c>
      <c r="L24" s="2">
        <v>25</v>
      </c>
      <c r="M24" s="2">
        <v>25</v>
      </c>
    </row>
    <row r="25" spans="1:13" x14ac:dyDescent="0.25">
      <c r="A25" s="4" t="s">
        <v>15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25</v>
      </c>
      <c r="I25" s="2">
        <v>25</v>
      </c>
      <c r="J25" s="2">
        <v>25</v>
      </c>
      <c r="K25" s="2">
        <v>25</v>
      </c>
      <c r="L25" s="2">
        <v>25</v>
      </c>
      <c r="M25" s="2">
        <v>25</v>
      </c>
    </row>
    <row r="26" spans="1:13" x14ac:dyDescent="0.25">
      <c r="A26" s="4" t="s">
        <v>16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25</v>
      </c>
      <c r="I26" s="2">
        <v>25</v>
      </c>
      <c r="J26" s="2">
        <v>25</v>
      </c>
      <c r="K26" s="2">
        <v>1</v>
      </c>
      <c r="L26" s="2">
        <v>1</v>
      </c>
      <c r="M26" s="2">
        <v>1</v>
      </c>
    </row>
    <row r="27" spans="1:13" x14ac:dyDescent="0.25">
      <c r="A27" s="4" t="s">
        <v>17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25</v>
      </c>
      <c r="I27" s="2">
        <v>25</v>
      </c>
      <c r="J27" s="2">
        <v>25</v>
      </c>
      <c r="K27" s="2">
        <v>1</v>
      </c>
      <c r="L27" s="2">
        <v>1</v>
      </c>
      <c r="M27" s="2">
        <v>1</v>
      </c>
    </row>
    <row r="28" spans="1:13" x14ac:dyDescent="0.25">
      <c r="A28" s="4" t="s">
        <v>18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25</v>
      </c>
      <c r="I28" s="2">
        <v>25</v>
      </c>
      <c r="J28" s="2">
        <v>25</v>
      </c>
      <c r="K28" s="2">
        <v>1</v>
      </c>
      <c r="L28" s="2">
        <v>1</v>
      </c>
      <c r="M28" s="2">
        <v>1</v>
      </c>
    </row>
    <row r="29" spans="1:13" x14ac:dyDescent="0.25">
      <c r="A29" s="4" t="s">
        <v>19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25</v>
      </c>
      <c r="I29" s="2">
        <v>25</v>
      </c>
      <c r="J29" s="2">
        <v>25</v>
      </c>
      <c r="K29" s="2">
        <v>1</v>
      </c>
      <c r="L29" s="2">
        <v>1</v>
      </c>
      <c r="M29" s="2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9BD08-8329-446C-BF7B-B5100D3E5542}">
  <dimension ref="A1:M29"/>
  <sheetViews>
    <sheetView workbookViewId="0">
      <selection activeCell="M19" sqref="M19"/>
    </sheetView>
  </sheetViews>
  <sheetFormatPr defaultRowHeight="15" x14ac:dyDescent="0.25"/>
  <sheetData>
    <row r="1" spans="1:13" x14ac:dyDescent="0.25">
      <c r="A1" s="3"/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</row>
    <row r="2" spans="1:13" x14ac:dyDescent="0.25">
      <c r="A2" s="4" t="s">
        <v>12</v>
      </c>
      <c r="B2" s="2">
        <v>5.1999999999999998E-2</v>
      </c>
      <c r="C2" s="2">
        <v>5.2999999999999999E-2</v>
      </c>
      <c r="D2" s="2">
        <v>5.1999999999999998E-2</v>
      </c>
      <c r="E2" s="2">
        <v>5.5E-2</v>
      </c>
      <c r="F2" s="2">
        <v>5.6000000000000001E-2</v>
      </c>
      <c r="G2" s="2">
        <v>5.7000000000000002E-2</v>
      </c>
      <c r="H2" s="2">
        <v>6.2E-2</v>
      </c>
      <c r="I2" s="2">
        <v>6.2E-2</v>
      </c>
      <c r="J2" s="2">
        <v>6.2E-2</v>
      </c>
      <c r="K2" s="2">
        <v>0.55700000000000005</v>
      </c>
      <c r="L2" s="2">
        <v>0.48699999999999999</v>
      </c>
      <c r="M2" s="2">
        <v>0.47899999999999998</v>
      </c>
    </row>
    <row r="3" spans="1:13" x14ac:dyDescent="0.25">
      <c r="A3" s="4" t="s">
        <v>13</v>
      </c>
      <c r="B3" s="2">
        <v>0.187</v>
      </c>
      <c r="C3" s="2">
        <v>0.20300000000000001</v>
      </c>
      <c r="D3" s="2">
        <v>0.17199999999999999</v>
      </c>
      <c r="E3" s="2">
        <v>5.2999999999999999E-2</v>
      </c>
      <c r="F3" s="2">
        <v>5.3999999999999999E-2</v>
      </c>
      <c r="G3" s="2">
        <v>5.5E-2</v>
      </c>
      <c r="H3" s="2">
        <v>9.2999999999999999E-2</v>
      </c>
      <c r="I3" s="2">
        <v>9.0999999999999998E-2</v>
      </c>
      <c r="J3" s="2">
        <v>8.5999999999999993E-2</v>
      </c>
      <c r="K3" s="2">
        <v>0.95299999999999996</v>
      </c>
      <c r="L3" s="2">
        <v>0.86499999999999999</v>
      </c>
      <c r="M3" s="2">
        <v>0.84099999999999997</v>
      </c>
    </row>
    <row r="4" spans="1:13" x14ac:dyDescent="0.25">
      <c r="A4" s="4" t="s">
        <v>14</v>
      </c>
      <c r="B4" s="2">
        <v>0.56599999999999995</v>
      </c>
      <c r="C4" s="2">
        <v>0.56699999999999995</v>
      </c>
      <c r="D4" s="2">
        <v>0.95499999999999996</v>
      </c>
      <c r="E4" s="2">
        <v>5.6000000000000001E-2</v>
      </c>
      <c r="F4" s="2">
        <v>7.1999999999999995E-2</v>
      </c>
      <c r="G4" s="2">
        <v>5.3999999999999999E-2</v>
      </c>
      <c r="H4" s="2">
        <v>0.115</v>
      </c>
      <c r="I4" s="2">
        <v>0.11600000000000001</v>
      </c>
      <c r="J4" s="2">
        <v>0.11799999999999999</v>
      </c>
      <c r="K4" s="2">
        <v>0.11</v>
      </c>
      <c r="L4" s="2">
        <v>0.112</v>
      </c>
      <c r="M4" s="2">
        <v>9.9000000000000005E-2</v>
      </c>
    </row>
    <row r="5" spans="1:13" x14ac:dyDescent="0.25">
      <c r="A5" s="4" t="s">
        <v>15</v>
      </c>
      <c r="B5" s="2">
        <v>0.68799999999999994</v>
      </c>
      <c r="C5" s="2">
        <v>0.66300000000000003</v>
      </c>
      <c r="D5" s="2">
        <v>0.65500000000000003</v>
      </c>
      <c r="E5" s="2">
        <v>5.8999999999999997E-2</v>
      </c>
      <c r="F5" s="2">
        <v>5.7000000000000002E-2</v>
      </c>
      <c r="G5" s="2">
        <v>5.3999999999999999E-2</v>
      </c>
      <c r="H5" s="2">
        <v>0.14899999999999999</v>
      </c>
      <c r="I5" s="2">
        <v>0.159</v>
      </c>
      <c r="J5" s="2">
        <v>0.14399999999999999</v>
      </c>
      <c r="K5" s="2">
        <v>1.5</v>
      </c>
      <c r="L5" s="2">
        <v>1.3959999999999999</v>
      </c>
      <c r="M5" s="2">
        <v>1.2989999999999999</v>
      </c>
    </row>
    <row r="6" spans="1:13" x14ac:dyDescent="0.25">
      <c r="A6" s="4" t="s">
        <v>16</v>
      </c>
      <c r="B6" s="2">
        <v>1.325</v>
      </c>
      <c r="C6" s="2">
        <v>1.2589999999999999</v>
      </c>
      <c r="D6" s="2">
        <v>1.2010000000000001</v>
      </c>
      <c r="E6" s="2">
        <v>9.8000000000000004E-2</v>
      </c>
      <c r="F6" s="2">
        <v>9.0999999999999998E-2</v>
      </c>
      <c r="G6" s="2">
        <v>9.4E-2</v>
      </c>
      <c r="H6" s="2">
        <v>0.48699999999999999</v>
      </c>
      <c r="I6" s="2">
        <v>0.48899999999999999</v>
      </c>
      <c r="J6" s="2">
        <v>0.46899999999999997</v>
      </c>
      <c r="K6" s="2">
        <v>1.5129999999999999</v>
      </c>
      <c r="L6" s="2">
        <v>1.3480000000000001</v>
      </c>
      <c r="M6" s="2">
        <v>1.24</v>
      </c>
    </row>
    <row r="7" spans="1:13" x14ac:dyDescent="0.25">
      <c r="A7" s="4" t="s">
        <v>17</v>
      </c>
      <c r="B7" s="2">
        <v>1.7130000000000001</v>
      </c>
      <c r="C7" s="2">
        <v>1.704</v>
      </c>
      <c r="D7" s="2">
        <v>1.722</v>
      </c>
      <c r="E7" s="2">
        <v>0.10299999999999999</v>
      </c>
      <c r="F7" s="2">
        <v>9.1999999999999998E-2</v>
      </c>
      <c r="G7" s="2">
        <v>9.1999999999999998E-2</v>
      </c>
      <c r="H7" s="2">
        <v>0.49399999999999999</v>
      </c>
      <c r="I7" s="2">
        <v>0.53500000000000003</v>
      </c>
      <c r="J7" s="2">
        <v>0.46300000000000002</v>
      </c>
      <c r="K7" s="2">
        <v>0.14899999999999999</v>
      </c>
      <c r="L7" s="2">
        <v>0.15</v>
      </c>
      <c r="M7" s="2">
        <v>0.14799999999999999</v>
      </c>
    </row>
    <row r="8" spans="1:13" x14ac:dyDescent="0.25">
      <c r="A8" s="4" t="s">
        <v>18</v>
      </c>
      <c r="B8" s="2">
        <v>1.6439999999999999</v>
      </c>
      <c r="C8" s="2">
        <v>1.411</v>
      </c>
      <c r="D8" s="2">
        <v>1.518</v>
      </c>
      <c r="E8" s="2">
        <v>0.19600000000000001</v>
      </c>
      <c r="F8" s="2">
        <v>0.20699999999999999</v>
      </c>
      <c r="G8" s="2">
        <v>0.19600000000000001</v>
      </c>
      <c r="H8" s="2">
        <v>5.5E-2</v>
      </c>
      <c r="I8" s="2">
        <v>5.2999999999999999E-2</v>
      </c>
      <c r="J8" s="2">
        <v>5.3999999999999999E-2</v>
      </c>
      <c r="K8" s="2">
        <v>1.847</v>
      </c>
      <c r="L8" s="2">
        <v>1.764</v>
      </c>
      <c r="M8" s="2">
        <v>1.6339999999999999</v>
      </c>
    </row>
    <row r="9" spans="1:13" x14ac:dyDescent="0.25">
      <c r="A9" s="4" t="s">
        <v>19</v>
      </c>
      <c r="B9" s="2">
        <v>1.6739999999999999</v>
      </c>
      <c r="C9" s="2">
        <v>1.2969999999999999</v>
      </c>
      <c r="D9" s="2">
        <v>1.51</v>
      </c>
      <c r="E9" s="2">
        <v>5.6000000000000001E-2</v>
      </c>
      <c r="F9" s="2">
        <v>5.5E-2</v>
      </c>
      <c r="G9" s="2">
        <v>5.3999999999999999E-2</v>
      </c>
      <c r="H9" s="2">
        <v>0.55200000000000005</v>
      </c>
      <c r="I9" s="2">
        <v>0.43</v>
      </c>
      <c r="J9" s="2">
        <v>0.58599999999999997</v>
      </c>
      <c r="K9" s="2">
        <v>1.4330000000000001</v>
      </c>
      <c r="L9" s="2">
        <v>1.5329999999999999</v>
      </c>
      <c r="M9" s="2">
        <v>1.518</v>
      </c>
    </row>
    <row r="11" spans="1:13" x14ac:dyDescent="0.25">
      <c r="A11" s="3" t="s">
        <v>20</v>
      </c>
      <c r="B11" s="4">
        <v>1</v>
      </c>
      <c r="C11" s="4">
        <v>2</v>
      </c>
      <c r="D11" s="4">
        <v>3</v>
      </c>
      <c r="E11" s="4">
        <v>4</v>
      </c>
      <c r="F11" s="4">
        <v>5</v>
      </c>
      <c r="G11" s="4">
        <v>6</v>
      </c>
      <c r="H11" s="4">
        <v>7</v>
      </c>
      <c r="I11" s="4">
        <v>8</v>
      </c>
      <c r="J11" s="4">
        <v>9</v>
      </c>
      <c r="K11" s="4">
        <v>10</v>
      </c>
      <c r="L11" s="4">
        <v>11</v>
      </c>
      <c r="M11" s="4">
        <v>12</v>
      </c>
    </row>
    <row r="12" spans="1:13" x14ac:dyDescent="0.25">
      <c r="A12" s="4" t="s">
        <v>12</v>
      </c>
      <c r="B12" s="6" t="s">
        <v>21</v>
      </c>
      <c r="C12" s="6" t="s">
        <v>21</v>
      </c>
      <c r="D12" s="6" t="s">
        <v>21</v>
      </c>
      <c r="E12" t="s">
        <v>54</v>
      </c>
      <c r="F12" t="s">
        <v>54</v>
      </c>
      <c r="G12" t="s">
        <v>54</v>
      </c>
      <c r="H12" t="s">
        <v>62</v>
      </c>
      <c r="I12" t="s">
        <v>62</v>
      </c>
      <c r="J12" t="s">
        <v>62</v>
      </c>
      <c r="K12" t="s">
        <v>70</v>
      </c>
      <c r="L12" t="s">
        <v>70</v>
      </c>
      <c r="M12" t="s">
        <v>70</v>
      </c>
    </row>
    <row r="13" spans="1:13" x14ac:dyDescent="0.25">
      <c r="A13" s="4" t="s">
        <v>13</v>
      </c>
      <c r="B13" s="6" t="s">
        <v>22</v>
      </c>
      <c r="C13" s="6" t="s">
        <v>22</v>
      </c>
      <c r="D13" s="6" t="s">
        <v>22</v>
      </c>
      <c r="E13" t="s">
        <v>55</v>
      </c>
      <c r="F13" t="s">
        <v>55</v>
      </c>
      <c r="G13" t="s">
        <v>55</v>
      </c>
      <c r="H13" t="s">
        <v>63</v>
      </c>
      <c r="I13" t="s">
        <v>63</v>
      </c>
      <c r="J13" t="s">
        <v>63</v>
      </c>
      <c r="K13" t="s">
        <v>73</v>
      </c>
      <c r="L13" t="s">
        <v>73</v>
      </c>
      <c r="M13" t="s">
        <v>73</v>
      </c>
    </row>
    <row r="14" spans="1:13" x14ac:dyDescent="0.25">
      <c r="A14" s="4" t="s">
        <v>14</v>
      </c>
      <c r="B14" s="6" t="s">
        <v>23</v>
      </c>
      <c r="C14" s="6" t="s">
        <v>23</v>
      </c>
      <c r="D14" s="6" t="s">
        <v>23</v>
      </c>
      <c r="E14" t="s">
        <v>56</v>
      </c>
      <c r="F14" t="s">
        <v>56</v>
      </c>
      <c r="G14" t="s">
        <v>56</v>
      </c>
      <c r="H14" t="s">
        <v>64</v>
      </c>
      <c r="I14" t="s">
        <v>64</v>
      </c>
      <c r="J14" t="s">
        <v>64</v>
      </c>
      <c r="K14" t="s">
        <v>74</v>
      </c>
      <c r="L14" t="s">
        <v>74</v>
      </c>
      <c r="M14" t="s">
        <v>74</v>
      </c>
    </row>
    <row r="15" spans="1:13" x14ac:dyDescent="0.25">
      <c r="A15" s="4" t="s">
        <v>15</v>
      </c>
      <c r="B15" s="6" t="s">
        <v>24</v>
      </c>
      <c r="C15" s="6" t="s">
        <v>24</v>
      </c>
      <c r="D15" s="6" t="s">
        <v>24</v>
      </c>
      <c r="E15" t="s">
        <v>57</v>
      </c>
      <c r="F15" t="s">
        <v>57</v>
      </c>
      <c r="G15" t="s">
        <v>57</v>
      </c>
      <c r="H15" t="s">
        <v>65</v>
      </c>
      <c r="I15" t="s">
        <v>65</v>
      </c>
      <c r="J15" t="s">
        <v>65</v>
      </c>
      <c r="K15" t="s">
        <v>75</v>
      </c>
      <c r="L15" t="s">
        <v>75</v>
      </c>
      <c r="M15" t="s">
        <v>75</v>
      </c>
    </row>
    <row r="16" spans="1:13" x14ac:dyDescent="0.25">
      <c r="A16" s="4" t="s">
        <v>16</v>
      </c>
      <c r="B16" s="6" t="s">
        <v>25</v>
      </c>
      <c r="C16" s="6" t="s">
        <v>25</v>
      </c>
      <c r="D16" s="6" t="s">
        <v>25</v>
      </c>
      <c r="E16" t="s">
        <v>58</v>
      </c>
      <c r="F16" t="s">
        <v>58</v>
      </c>
      <c r="G16" t="s">
        <v>58</v>
      </c>
      <c r="H16" t="s">
        <v>66</v>
      </c>
      <c r="I16" t="s">
        <v>66</v>
      </c>
      <c r="J16" t="s">
        <v>66</v>
      </c>
      <c r="K16" t="s">
        <v>76</v>
      </c>
      <c r="L16" t="s">
        <v>76</v>
      </c>
      <c r="M16" t="s">
        <v>76</v>
      </c>
    </row>
    <row r="17" spans="1:13" x14ac:dyDescent="0.25">
      <c r="A17" s="4" t="s">
        <v>17</v>
      </c>
      <c r="B17" s="6" t="s">
        <v>26</v>
      </c>
      <c r="C17" s="6" t="s">
        <v>26</v>
      </c>
      <c r="D17" s="6" t="s">
        <v>26</v>
      </c>
      <c r="E17" t="s">
        <v>59</v>
      </c>
      <c r="F17" t="s">
        <v>59</v>
      </c>
      <c r="G17" t="s">
        <v>59</v>
      </c>
      <c r="H17" t="s">
        <v>67</v>
      </c>
      <c r="I17" t="s">
        <v>67</v>
      </c>
      <c r="J17" t="s">
        <v>67</v>
      </c>
      <c r="K17" t="s">
        <v>71</v>
      </c>
      <c r="L17" t="s">
        <v>71</v>
      </c>
      <c r="M17" t="s">
        <v>71</v>
      </c>
    </row>
    <row r="18" spans="1:13" x14ac:dyDescent="0.25">
      <c r="A18" s="4" t="s">
        <v>18</v>
      </c>
      <c r="B18" s="6" t="s">
        <v>27</v>
      </c>
      <c r="C18" s="6" t="s">
        <v>27</v>
      </c>
      <c r="D18" s="6" t="s">
        <v>27</v>
      </c>
      <c r="E18" t="s">
        <v>60</v>
      </c>
      <c r="F18" t="s">
        <v>60</v>
      </c>
      <c r="G18" t="s">
        <v>60</v>
      </c>
      <c r="H18" t="s">
        <v>68</v>
      </c>
      <c r="I18" t="s">
        <v>68</v>
      </c>
      <c r="J18" t="s">
        <v>68</v>
      </c>
      <c r="K18" t="s">
        <v>72</v>
      </c>
      <c r="L18" t="s">
        <v>72</v>
      </c>
      <c r="M18" t="s">
        <v>72</v>
      </c>
    </row>
    <row r="19" spans="1:13" x14ac:dyDescent="0.25">
      <c r="A19" s="4" t="s">
        <v>19</v>
      </c>
      <c r="B19" s="6" t="s">
        <v>28</v>
      </c>
      <c r="C19" s="6" t="s">
        <v>28</v>
      </c>
      <c r="D19" s="6" t="s">
        <v>28</v>
      </c>
      <c r="E19" t="s">
        <v>61</v>
      </c>
      <c r="F19" t="s">
        <v>61</v>
      </c>
      <c r="G19" t="s">
        <v>61</v>
      </c>
      <c r="H19" t="s">
        <v>69</v>
      </c>
      <c r="I19" t="s">
        <v>69</v>
      </c>
      <c r="J19" t="s">
        <v>69</v>
      </c>
      <c r="K19" t="s">
        <v>77</v>
      </c>
      <c r="L19" t="s">
        <v>77</v>
      </c>
      <c r="M19" t="s">
        <v>77</v>
      </c>
    </row>
    <row r="21" spans="1:13" ht="30" x14ac:dyDescent="0.25">
      <c r="A21" s="3" t="s">
        <v>29</v>
      </c>
      <c r="B21" s="4">
        <v>1</v>
      </c>
      <c r="C21" s="4">
        <v>2</v>
      </c>
      <c r="D21" s="4">
        <v>3</v>
      </c>
      <c r="E21" s="4">
        <v>4</v>
      </c>
      <c r="F21" s="4">
        <v>5</v>
      </c>
      <c r="G21" s="4">
        <v>6</v>
      </c>
      <c r="H21" s="4">
        <v>7</v>
      </c>
      <c r="I21" s="4">
        <v>8</v>
      </c>
      <c r="J21" s="4">
        <v>9</v>
      </c>
      <c r="K21" s="4">
        <v>10</v>
      </c>
      <c r="L21" s="4">
        <v>11</v>
      </c>
      <c r="M21" s="4">
        <v>12</v>
      </c>
    </row>
    <row r="22" spans="1:13" x14ac:dyDescent="0.25">
      <c r="A22" s="4" t="s">
        <v>12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25</v>
      </c>
      <c r="L22" s="2">
        <v>25</v>
      </c>
      <c r="M22" s="2">
        <v>25</v>
      </c>
    </row>
    <row r="23" spans="1:13" x14ac:dyDescent="0.25">
      <c r="A23" s="4" t="s">
        <v>13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25</v>
      </c>
      <c r="L23" s="2">
        <v>25</v>
      </c>
      <c r="M23" s="2">
        <v>25</v>
      </c>
    </row>
    <row r="24" spans="1:13" x14ac:dyDescent="0.25">
      <c r="A24" s="4" t="s">
        <v>14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</row>
    <row r="25" spans="1:13" x14ac:dyDescent="0.25">
      <c r="A25" s="4" t="s">
        <v>15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25</v>
      </c>
      <c r="L25" s="2">
        <v>25</v>
      </c>
      <c r="M25" s="2">
        <v>25</v>
      </c>
    </row>
    <row r="26" spans="1:13" x14ac:dyDescent="0.25">
      <c r="A26" s="4" t="s">
        <v>16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25</v>
      </c>
      <c r="L26" s="2">
        <v>25</v>
      </c>
      <c r="M26" s="2">
        <v>25</v>
      </c>
    </row>
    <row r="27" spans="1:13" x14ac:dyDescent="0.25">
      <c r="A27" s="4" t="s">
        <v>17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</row>
    <row r="28" spans="1:13" x14ac:dyDescent="0.25">
      <c r="A28" s="4" t="s">
        <v>18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25</v>
      </c>
      <c r="L28" s="2">
        <v>25</v>
      </c>
      <c r="M28" s="2">
        <v>25</v>
      </c>
    </row>
    <row r="29" spans="1:13" x14ac:dyDescent="0.25">
      <c r="A29" s="4" t="s">
        <v>19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25</v>
      </c>
      <c r="L29" s="2">
        <v>25</v>
      </c>
      <c r="M29" s="2">
        <v>25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DFACA-1354-4E1D-8D53-39F49B70EA1D}">
  <dimension ref="A1:M29"/>
  <sheetViews>
    <sheetView tabSelected="1" workbookViewId="0">
      <selection activeCell="E13" sqref="E13"/>
    </sheetView>
  </sheetViews>
  <sheetFormatPr defaultRowHeight="15" x14ac:dyDescent="0.25"/>
  <sheetData>
    <row r="1" spans="1:13" x14ac:dyDescent="0.25">
      <c r="A1" s="3"/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</row>
    <row r="2" spans="1:13" x14ac:dyDescent="0.25">
      <c r="A2" s="4" t="s">
        <v>12</v>
      </c>
      <c r="B2" s="2">
        <v>0.05</v>
      </c>
      <c r="C2" s="2">
        <v>5.2999999999999999E-2</v>
      </c>
      <c r="D2" s="2">
        <v>5.2999999999999999E-2</v>
      </c>
      <c r="E2" s="2">
        <v>0.11</v>
      </c>
      <c r="F2" s="2">
        <v>0.111</v>
      </c>
      <c r="G2" s="2">
        <v>0.11600000000000001</v>
      </c>
      <c r="H2" s="2">
        <v>5.5E-2</v>
      </c>
      <c r="I2" s="2">
        <v>5.5E-2</v>
      </c>
      <c r="J2" s="2">
        <v>5.2999999999999999E-2</v>
      </c>
      <c r="K2" s="2">
        <v>0.21199999999999999</v>
      </c>
      <c r="L2" s="2">
        <v>0.21099999999999999</v>
      </c>
      <c r="M2" s="2">
        <v>0.23799999999999999</v>
      </c>
    </row>
    <row r="3" spans="1:13" x14ac:dyDescent="0.25">
      <c r="A3" s="4" t="s">
        <v>13</v>
      </c>
      <c r="B3" s="2">
        <v>0.188</v>
      </c>
      <c r="C3" s="2">
        <v>0.187</v>
      </c>
      <c r="D3" s="2">
        <v>0.157</v>
      </c>
      <c r="E3" s="2">
        <v>5.8000000000000003E-2</v>
      </c>
      <c r="F3" s="2">
        <v>5.5E-2</v>
      </c>
      <c r="G3" s="2">
        <v>5.5E-2</v>
      </c>
      <c r="H3" s="2">
        <v>0.314</v>
      </c>
      <c r="I3" s="2">
        <v>0.35399999999999998</v>
      </c>
      <c r="J3" s="2">
        <v>0.433</v>
      </c>
      <c r="K3" s="2">
        <v>0.219</v>
      </c>
      <c r="L3" s="2">
        <v>0.23400000000000001</v>
      </c>
      <c r="M3" s="2">
        <v>0.25800000000000001</v>
      </c>
    </row>
    <row r="4" spans="1:13" x14ac:dyDescent="0.25">
      <c r="A4" s="4" t="s">
        <v>14</v>
      </c>
      <c r="B4" s="2">
        <v>0.60399999999999998</v>
      </c>
      <c r="C4" s="2">
        <v>0.59199999999999997</v>
      </c>
      <c r="D4" s="2">
        <v>0.71399999999999997</v>
      </c>
      <c r="E4" s="2">
        <v>5.6000000000000001E-2</v>
      </c>
      <c r="F4" s="2">
        <v>5.6000000000000001E-2</v>
      </c>
      <c r="G4" s="2">
        <v>5.3999999999999999E-2</v>
      </c>
      <c r="H4" s="2">
        <v>7.0000000000000007E-2</v>
      </c>
      <c r="I4" s="2">
        <v>5.6000000000000001E-2</v>
      </c>
      <c r="J4" s="2">
        <v>5.6000000000000001E-2</v>
      </c>
      <c r="K4" s="2">
        <v>8.3000000000000004E-2</v>
      </c>
      <c r="L4" s="2">
        <v>8.2000000000000003E-2</v>
      </c>
      <c r="M4" s="2">
        <v>8.4000000000000005E-2</v>
      </c>
    </row>
    <row r="5" spans="1:13" x14ac:dyDescent="0.25">
      <c r="A5" s="4" t="s">
        <v>15</v>
      </c>
      <c r="B5" s="2">
        <v>1.0009999999999999</v>
      </c>
      <c r="C5" s="2">
        <v>0.59</v>
      </c>
      <c r="D5" s="2">
        <v>0.55000000000000004</v>
      </c>
      <c r="E5" s="2">
        <v>6.5000000000000002E-2</v>
      </c>
      <c r="F5" s="2">
        <v>5.6000000000000001E-2</v>
      </c>
      <c r="G5" s="2">
        <v>5.5E-2</v>
      </c>
      <c r="H5" s="2">
        <v>5.6000000000000001E-2</v>
      </c>
      <c r="I5" s="2">
        <v>5.5E-2</v>
      </c>
      <c r="J5" s="2">
        <v>5.7000000000000002E-2</v>
      </c>
      <c r="K5" s="2">
        <v>0.17599999999999999</v>
      </c>
      <c r="L5" s="2">
        <v>0.17899999999999999</v>
      </c>
      <c r="M5" s="2">
        <v>0.14899999999999999</v>
      </c>
    </row>
    <row r="6" spans="1:13" x14ac:dyDescent="0.25">
      <c r="A6" s="4" t="s">
        <v>16</v>
      </c>
      <c r="B6" s="2">
        <v>1.0880000000000001</v>
      </c>
      <c r="C6" s="2">
        <v>0.995</v>
      </c>
      <c r="D6" s="2">
        <v>1.157</v>
      </c>
      <c r="E6" s="2">
        <v>5.7000000000000002E-2</v>
      </c>
      <c r="F6" s="2">
        <v>0.06</v>
      </c>
      <c r="G6" s="2">
        <v>5.6000000000000001E-2</v>
      </c>
      <c r="H6" s="2">
        <v>0.42299999999999999</v>
      </c>
      <c r="I6" s="2">
        <v>0.36099999999999999</v>
      </c>
      <c r="J6" s="2">
        <v>0.4</v>
      </c>
      <c r="K6" s="2">
        <v>0.14899999999999999</v>
      </c>
      <c r="L6" s="2">
        <v>0.16200000000000001</v>
      </c>
      <c r="M6" s="2">
        <v>0.13900000000000001</v>
      </c>
    </row>
    <row r="7" spans="1:13" x14ac:dyDescent="0.25">
      <c r="A7" s="4" t="s">
        <v>17</v>
      </c>
      <c r="B7" s="2">
        <v>1.74</v>
      </c>
      <c r="C7" s="2">
        <v>1.5069999999999999</v>
      </c>
      <c r="D7" s="2">
        <v>1.653</v>
      </c>
      <c r="E7" s="2">
        <v>5.8999999999999997E-2</v>
      </c>
      <c r="F7" s="2">
        <v>5.7000000000000002E-2</v>
      </c>
      <c r="G7" s="2">
        <v>5.8000000000000003E-2</v>
      </c>
      <c r="H7" s="2">
        <v>0.40300000000000002</v>
      </c>
      <c r="I7" s="2">
        <v>0.42</v>
      </c>
      <c r="J7" s="2">
        <v>0.437</v>
      </c>
      <c r="K7" s="2">
        <v>5.6000000000000001E-2</v>
      </c>
      <c r="L7" s="2">
        <v>5.8999999999999997E-2</v>
      </c>
      <c r="M7" s="2">
        <v>5.8000000000000003E-2</v>
      </c>
    </row>
    <row r="8" spans="1:13" x14ac:dyDescent="0.25">
      <c r="A8" s="4" t="s">
        <v>18</v>
      </c>
      <c r="B8" s="2">
        <v>1.5509999999999999</v>
      </c>
      <c r="C8" s="2">
        <v>1.575</v>
      </c>
      <c r="D8" s="2">
        <v>1.4530000000000001</v>
      </c>
      <c r="E8" s="2">
        <v>0.31</v>
      </c>
      <c r="F8" s="2">
        <v>0.26600000000000001</v>
      </c>
      <c r="G8" s="2">
        <v>0.313</v>
      </c>
      <c r="H8" s="2">
        <v>7.3999999999999996E-2</v>
      </c>
      <c r="I8" s="2">
        <v>7.0000000000000007E-2</v>
      </c>
      <c r="J8" s="2">
        <v>7.6999999999999999E-2</v>
      </c>
      <c r="K8" s="2">
        <v>8.5000000000000006E-2</v>
      </c>
      <c r="L8" s="2">
        <v>8.1000000000000003E-2</v>
      </c>
      <c r="M8" s="2">
        <v>0.08</v>
      </c>
    </row>
    <row r="9" spans="1:13" x14ac:dyDescent="0.25">
      <c r="A9" s="4" t="s">
        <v>19</v>
      </c>
      <c r="B9" s="2">
        <v>1.5469999999999999</v>
      </c>
      <c r="C9" s="2">
        <v>1.583</v>
      </c>
      <c r="D9" s="2">
        <v>1.5980000000000001</v>
      </c>
      <c r="E9" s="2">
        <v>5.6000000000000001E-2</v>
      </c>
      <c r="F9" s="2">
        <v>0.06</v>
      </c>
      <c r="G9" s="2">
        <v>5.8000000000000003E-2</v>
      </c>
      <c r="H9" s="2">
        <v>0.4</v>
      </c>
      <c r="I9" s="2">
        <v>0.443</v>
      </c>
      <c r="J9" s="2">
        <v>0.61499999999999999</v>
      </c>
      <c r="K9" s="2">
        <v>0.85</v>
      </c>
      <c r="L9" s="2">
        <v>0.83299999999999996</v>
      </c>
      <c r="M9" s="2">
        <v>0.90700000000000003</v>
      </c>
    </row>
    <row r="11" spans="1:13" x14ac:dyDescent="0.25">
      <c r="A11" s="3" t="s">
        <v>20</v>
      </c>
      <c r="B11" s="4">
        <v>1</v>
      </c>
      <c r="C11" s="4">
        <v>2</v>
      </c>
      <c r="D11" s="4">
        <v>3</v>
      </c>
      <c r="E11" s="4">
        <v>4</v>
      </c>
      <c r="F11" s="4">
        <v>5</v>
      </c>
      <c r="G11" s="4">
        <v>6</v>
      </c>
      <c r="H11" s="4">
        <v>7</v>
      </c>
      <c r="I11" s="4">
        <v>8</v>
      </c>
      <c r="J11" s="4">
        <v>9</v>
      </c>
      <c r="K11" s="4">
        <v>10</v>
      </c>
      <c r="L11" s="4">
        <v>11</v>
      </c>
      <c r="M11" s="4">
        <v>12</v>
      </c>
    </row>
    <row r="12" spans="1:13" x14ac:dyDescent="0.25">
      <c r="A12" s="4" t="s">
        <v>12</v>
      </c>
      <c r="B12" s="6" t="s">
        <v>21</v>
      </c>
      <c r="C12" s="6" t="s">
        <v>21</v>
      </c>
      <c r="D12" s="6" t="s">
        <v>21</v>
      </c>
      <c r="E12" t="s">
        <v>78</v>
      </c>
      <c r="F12" s="6"/>
      <c r="G12" s="6"/>
      <c r="H12" s="6"/>
      <c r="I12" s="6"/>
      <c r="J12" s="6"/>
      <c r="K12" s="6"/>
      <c r="L12" s="6"/>
      <c r="M12" s="6"/>
    </row>
    <row r="13" spans="1:13" x14ac:dyDescent="0.25">
      <c r="A13" s="4" t="s">
        <v>13</v>
      </c>
      <c r="B13" s="6" t="s">
        <v>22</v>
      </c>
      <c r="C13" s="6" t="s">
        <v>22</v>
      </c>
      <c r="D13" s="6" t="s">
        <v>22</v>
      </c>
      <c r="F13" s="6"/>
      <c r="G13" s="6"/>
      <c r="H13" s="6"/>
      <c r="I13" s="6"/>
      <c r="J13" s="6"/>
      <c r="K13" s="6"/>
      <c r="L13" s="6"/>
      <c r="M13" s="6"/>
    </row>
    <row r="14" spans="1:13" x14ac:dyDescent="0.25">
      <c r="A14" s="4" t="s">
        <v>14</v>
      </c>
      <c r="B14" s="6" t="s">
        <v>23</v>
      </c>
      <c r="C14" s="6" t="s">
        <v>23</v>
      </c>
      <c r="D14" s="6" t="s">
        <v>23</v>
      </c>
      <c r="E14" s="6"/>
      <c r="F14" s="6"/>
      <c r="G14" s="6"/>
      <c r="H14" s="6"/>
      <c r="I14" s="6"/>
      <c r="J14" s="6"/>
      <c r="K14" s="6"/>
      <c r="L14" s="6"/>
      <c r="M14" s="6"/>
    </row>
    <row r="15" spans="1:13" x14ac:dyDescent="0.25">
      <c r="A15" s="4" t="s">
        <v>15</v>
      </c>
      <c r="B15" s="6" t="s">
        <v>24</v>
      </c>
      <c r="C15" s="6" t="s">
        <v>24</v>
      </c>
      <c r="D15" s="6" t="s">
        <v>24</v>
      </c>
      <c r="E15" s="6"/>
      <c r="F15" s="6"/>
      <c r="G15" s="6"/>
      <c r="H15" s="6"/>
      <c r="I15" s="6"/>
      <c r="J15" s="6"/>
      <c r="K15" s="6"/>
      <c r="L15" s="6"/>
      <c r="M15" s="6"/>
    </row>
    <row r="16" spans="1:13" x14ac:dyDescent="0.25">
      <c r="A16" s="4" t="s">
        <v>16</v>
      </c>
      <c r="B16" s="6" t="s">
        <v>25</v>
      </c>
      <c r="C16" s="6" t="s">
        <v>25</v>
      </c>
      <c r="D16" s="6" t="s">
        <v>25</v>
      </c>
      <c r="E16" s="6"/>
      <c r="F16" s="6"/>
      <c r="G16" s="6"/>
      <c r="H16" s="6"/>
      <c r="I16" s="6"/>
      <c r="J16" s="6"/>
      <c r="K16" s="6"/>
      <c r="L16" s="6"/>
      <c r="M16" s="6"/>
    </row>
    <row r="17" spans="1:13" x14ac:dyDescent="0.25">
      <c r="A17" s="4" t="s">
        <v>17</v>
      </c>
      <c r="B17" s="6" t="s">
        <v>26</v>
      </c>
      <c r="C17" s="6" t="s">
        <v>26</v>
      </c>
      <c r="D17" s="6" t="s">
        <v>26</v>
      </c>
      <c r="E17" s="6"/>
      <c r="F17" s="6"/>
      <c r="G17" s="6"/>
      <c r="H17" s="6"/>
      <c r="I17" s="6"/>
      <c r="J17" s="6"/>
      <c r="K17" s="6"/>
      <c r="L17" s="6"/>
      <c r="M17" s="6"/>
    </row>
    <row r="18" spans="1:13" x14ac:dyDescent="0.25">
      <c r="A18" s="4" t="s">
        <v>18</v>
      </c>
      <c r="B18" s="6" t="s">
        <v>27</v>
      </c>
      <c r="C18" s="6" t="s">
        <v>27</v>
      </c>
      <c r="D18" s="6" t="s">
        <v>27</v>
      </c>
      <c r="E18" s="6"/>
      <c r="F18" s="6"/>
      <c r="G18" s="6"/>
      <c r="H18" s="6"/>
      <c r="I18" s="6"/>
      <c r="J18" s="6"/>
      <c r="K18" s="6"/>
      <c r="L18" s="6"/>
      <c r="M18" s="6"/>
    </row>
    <row r="19" spans="1:13" x14ac:dyDescent="0.25">
      <c r="A19" s="4" t="s">
        <v>19</v>
      </c>
      <c r="B19" s="6" t="s">
        <v>28</v>
      </c>
      <c r="C19" s="6" t="s">
        <v>28</v>
      </c>
      <c r="D19" s="6" t="s">
        <v>28</v>
      </c>
      <c r="E19" s="6"/>
      <c r="F19" s="6"/>
      <c r="G19" s="6"/>
      <c r="H19" s="6"/>
      <c r="I19" s="6"/>
      <c r="J19" s="6"/>
      <c r="K19" s="6"/>
      <c r="L19" s="6"/>
      <c r="M19" s="6"/>
    </row>
    <row r="21" spans="1:13" ht="30" x14ac:dyDescent="0.25">
      <c r="A21" s="3" t="s">
        <v>29</v>
      </c>
      <c r="B21" s="4">
        <v>1</v>
      </c>
      <c r="C21" s="4">
        <v>2</v>
      </c>
      <c r="D21" s="4">
        <v>3</v>
      </c>
      <c r="E21" s="4">
        <v>4</v>
      </c>
      <c r="F21" s="4">
        <v>5</v>
      </c>
      <c r="G21" s="4">
        <v>6</v>
      </c>
      <c r="H21" s="4">
        <v>7</v>
      </c>
      <c r="I21" s="4">
        <v>8</v>
      </c>
      <c r="J21" s="4">
        <v>9</v>
      </c>
      <c r="K21" s="4">
        <v>10</v>
      </c>
      <c r="L21" s="4">
        <v>11</v>
      </c>
      <c r="M21" s="4">
        <v>12</v>
      </c>
    </row>
    <row r="22" spans="1:13" x14ac:dyDescent="0.25">
      <c r="A22" s="4" t="s">
        <v>12</v>
      </c>
      <c r="B22" s="2">
        <v>1</v>
      </c>
      <c r="C22" s="2">
        <v>1</v>
      </c>
      <c r="D22" s="2">
        <v>1</v>
      </c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25">
      <c r="A23" s="4" t="s">
        <v>13</v>
      </c>
      <c r="B23" s="2">
        <v>1</v>
      </c>
      <c r="C23" s="2">
        <v>1</v>
      </c>
      <c r="D23" s="2">
        <v>1</v>
      </c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5">
      <c r="A24" s="4" t="s">
        <v>14</v>
      </c>
      <c r="B24" s="2">
        <v>1</v>
      </c>
      <c r="C24" s="2">
        <v>1</v>
      </c>
      <c r="D24" s="2">
        <v>1</v>
      </c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5">
      <c r="A25" s="4" t="s">
        <v>15</v>
      </c>
      <c r="B25" s="2">
        <v>1</v>
      </c>
      <c r="C25" s="2">
        <v>1</v>
      </c>
      <c r="D25" s="2">
        <v>1</v>
      </c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25">
      <c r="A26" s="4" t="s">
        <v>16</v>
      </c>
      <c r="B26" s="2">
        <v>1</v>
      </c>
      <c r="C26" s="2">
        <v>1</v>
      </c>
      <c r="D26" s="2">
        <v>1</v>
      </c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25">
      <c r="A27" s="4" t="s">
        <v>17</v>
      </c>
      <c r="B27" s="2">
        <v>1</v>
      </c>
      <c r="C27" s="2">
        <v>1</v>
      </c>
      <c r="D27" s="2">
        <v>1</v>
      </c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25">
      <c r="A28" s="4" t="s">
        <v>18</v>
      </c>
      <c r="B28" s="2">
        <v>1</v>
      </c>
      <c r="C28" s="2">
        <v>1</v>
      </c>
      <c r="D28" s="2">
        <v>1</v>
      </c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25">
      <c r="A29" s="4" t="s">
        <v>19</v>
      </c>
      <c r="B29" s="2">
        <v>1</v>
      </c>
      <c r="C29" s="2">
        <v>1</v>
      </c>
      <c r="D29" s="2">
        <v>1</v>
      </c>
      <c r="E29" s="2"/>
      <c r="F29" s="2"/>
      <c r="G29" s="2"/>
      <c r="H29" s="2"/>
      <c r="I29" s="2"/>
      <c r="J29" s="2"/>
      <c r="K29" s="2"/>
      <c r="L29" s="2"/>
      <c r="M29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AF397-896B-4747-888E-FA1E914B16DA}">
  <dimension ref="A1:M29"/>
  <sheetViews>
    <sheetView workbookViewId="0">
      <selection activeCell="A10" sqref="A10:N31"/>
    </sheetView>
  </sheetViews>
  <sheetFormatPr defaultRowHeight="15" x14ac:dyDescent="0.25"/>
  <sheetData>
    <row r="1" spans="1:13" x14ac:dyDescent="0.25">
      <c r="A1" s="3"/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</row>
    <row r="2" spans="1:13" x14ac:dyDescent="0.25">
      <c r="A2" s="4" t="s">
        <v>12</v>
      </c>
      <c r="B2" s="2">
        <v>5.3999999999999999E-2</v>
      </c>
      <c r="C2" s="2">
        <v>5.6000000000000001E-2</v>
      </c>
      <c r="D2" s="2">
        <v>5.5E-2</v>
      </c>
      <c r="E2" s="2">
        <v>0.61499999999999999</v>
      </c>
      <c r="F2" s="2">
        <v>0.73099999999999998</v>
      </c>
      <c r="G2" s="2">
        <v>0.64</v>
      </c>
      <c r="H2" s="2">
        <v>2.3330000000000002</v>
      </c>
      <c r="I2" s="2">
        <v>2.5019999999999998</v>
      </c>
      <c r="J2" s="2">
        <v>2.5779999999999998</v>
      </c>
      <c r="K2" s="2">
        <v>0.121</v>
      </c>
      <c r="L2" s="2">
        <v>0.11799999999999999</v>
      </c>
      <c r="M2" s="2">
        <v>0.11</v>
      </c>
    </row>
    <row r="3" spans="1:13" x14ac:dyDescent="0.25">
      <c r="A3" s="4" t="s">
        <v>13</v>
      </c>
      <c r="B3" s="2">
        <v>0.17299999999999999</v>
      </c>
      <c r="C3" s="2">
        <v>0.16500000000000001</v>
      </c>
      <c r="D3" s="2">
        <v>0.161</v>
      </c>
      <c r="E3" s="2">
        <v>2.8559999999999999</v>
      </c>
      <c r="F3" s="2">
        <v>2.4609999999999999</v>
      </c>
      <c r="G3" s="2">
        <v>2.532</v>
      </c>
      <c r="H3" s="2">
        <v>0.161</v>
      </c>
      <c r="I3" s="2">
        <v>0.154</v>
      </c>
      <c r="J3" s="2">
        <v>0.14599999999999999</v>
      </c>
      <c r="K3" s="2">
        <v>1.556</v>
      </c>
      <c r="L3" s="2">
        <v>1.651</v>
      </c>
      <c r="M3" s="2">
        <v>1.554</v>
      </c>
    </row>
    <row r="4" spans="1:13" x14ac:dyDescent="0.25">
      <c r="A4" s="4" t="s">
        <v>14</v>
      </c>
      <c r="B4" s="2">
        <v>0.53600000000000003</v>
      </c>
      <c r="C4" s="2">
        <v>0.68500000000000005</v>
      </c>
      <c r="D4" s="2">
        <v>0.61299999999999999</v>
      </c>
      <c r="E4" s="2">
        <v>2.7269999999999999</v>
      </c>
      <c r="F4" s="2">
        <v>2.7450000000000001</v>
      </c>
      <c r="G4" s="2">
        <v>2.85</v>
      </c>
      <c r="H4" s="2">
        <v>9.6000000000000002E-2</v>
      </c>
      <c r="I4" s="2">
        <v>9.2999999999999999E-2</v>
      </c>
      <c r="J4" s="2">
        <v>9.5000000000000001E-2</v>
      </c>
      <c r="K4" s="2">
        <v>0.28100000000000003</v>
      </c>
      <c r="L4" s="2">
        <v>0.313</v>
      </c>
      <c r="M4" s="2">
        <v>0.26900000000000002</v>
      </c>
    </row>
    <row r="5" spans="1:13" x14ac:dyDescent="0.25">
      <c r="A5" s="4" t="s">
        <v>15</v>
      </c>
      <c r="B5" s="2">
        <v>0.48199999999999998</v>
      </c>
      <c r="C5" s="2">
        <v>0.55000000000000004</v>
      </c>
      <c r="D5" s="2">
        <v>0.69199999999999995</v>
      </c>
      <c r="E5" s="2">
        <v>9.2999999999999999E-2</v>
      </c>
      <c r="F5" s="2">
        <v>9.6000000000000002E-2</v>
      </c>
      <c r="G5" s="2">
        <v>9.0999999999999998E-2</v>
      </c>
      <c r="H5" s="2">
        <v>0.16600000000000001</v>
      </c>
      <c r="I5" s="2">
        <v>0.184</v>
      </c>
      <c r="J5" s="2">
        <v>0.17399999999999999</v>
      </c>
      <c r="K5" s="2">
        <v>0.33300000000000002</v>
      </c>
      <c r="L5" s="2">
        <v>0.35399999999999998</v>
      </c>
      <c r="M5" s="2">
        <v>0.39400000000000002</v>
      </c>
    </row>
    <row r="6" spans="1:13" x14ac:dyDescent="0.25">
      <c r="A6" s="4" t="s">
        <v>16</v>
      </c>
      <c r="B6" s="2">
        <v>1.0329999999999999</v>
      </c>
      <c r="C6" s="2">
        <v>1.085</v>
      </c>
      <c r="D6" s="2">
        <v>1.1819999999999999</v>
      </c>
      <c r="E6" s="2">
        <v>2.8159999999999998</v>
      </c>
      <c r="F6" s="2">
        <v>2.3660000000000001</v>
      </c>
      <c r="G6" s="2">
        <v>2.3140000000000001</v>
      </c>
      <c r="H6" s="2">
        <v>0.38100000000000001</v>
      </c>
      <c r="I6" s="2">
        <v>0.36599999999999999</v>
      </c>
      <c r="J6" s="2">
        <v>0.40400000000000003</v>
      </c>
      <c r="K6" s="2">
        <v>5.8999999999999997E-2</v>
      </c>
      <c r="L6" s="2">
        <v>0.06</v>
      </c>
      <c r="M6" s="2">
        <v>5.0999999999999997E-2</v>
      </c>
    </row>
    <row r="7" spans="1:13" x14ac:dyDescent="0.25">
      <c r="A7" s="4" t="s">
        <v>17</v>
      </c>
      <c r="B7" s="2">
        <v>1.405</v>
      </c>
      <c r="C7" s="2">
        <v>1.647</v>
      </c>
      <c r="D7" s="2">
        <v>1.8460000000000001</v>
      </c>
      <c r="E7" s="2">
        <v>2.4249999999999998</v>
      </c>
      <c r="F7" s="2">
        <v>2.6120000000000001</v>
      </c>
      <c r="G7" s="2">
        <v>2.5939999999999999</v>
      </c>
      <c r="H7" s="2">
        <v>0.38400000000000001</v>
      </c>
      <c r="I7" s="2">
        <v>0.38600000000000001</v>
      </c>
      <c r="J7" s="2">
        <v>0.378</v>
      </c>
      <c r="K7" s="2">
        <v>7.3999999999999996E-2</v>
      </c>
      <c r="L7" s="2">
        <v>0.06</v>
      </c>
      <c r="M7" s="2">
        <v>5.2999999999999999E-2</v>
      </c>
    </row>
    <row r="8" spans="1:13" x14ac:dyDescent="0.25">
      <c r="A8" s="4" t="s">
        <v>18</v>
      </c>
      <c r="B8" s="2">
        <v>1.6240000000000001</v>
      </c>
      <c r="C8" s="2">
        <v>1.7250000000000001</v>
      </c>
      <c r="D8" s="2">
        <v>1.6020000000000001</v>
      </c>
      <c r="E8" s="2">
        <v>6.3E-2</v>
      </c>
      <c r="F8" s="2">
        <v>6.0999999999999999E-2</v>
      </c>
      <c r="G8" s="2">
        <v>6.4000000000000001E-2</v>
      </c>
      <c r="H8" s="2">
        <v>0.113</v>
      </c>
      <c r="I8" s="2">
        <v>0.108</v>
      </c>
      <c r="J8" s="2">
        <v>9.9000000000000005E-2</v>
      </c>
      <c r="K8" s="2">
        <v>0.06</v>
      </c>
      <c r="L8" s="2">
        <v>5.8999999999999997E-2</v>
      </c>
      <c r="M8" s="2">
        <v>5.8000000000000003E-2</v>
      </c>
    </row>
    <row r="9" spans="1:13" x14ac:dyDescent="0.25">
      <c r="A9" s="4" t="s">
        <v>19</v>
      </c>
      <c r="B9" s="2">
        <v>1.514</v>
      </c>
      <c r="C9" s="2">
        <v>1.4710000000000001</v>
      </c>
      <c r="D9" s="2">
        <v>1.9870000000000001</v>
      </c>
      <c r="E9" s="2">
        <v>0.28999999999999998</v>
      </c>
      <c r="F9" s="2">
        <v>0.32800000000000001</v>
      </c>
      <c r="G9" s="2">
        <v>0.36699999999999999</v>
      </c>
      <c r="H9" s="2">
        <v>0.42499999999999999</v>
      </c>
      <c r="I9" s="2">
        <v>0.65700000000000003</v>
      </c>
      <c r="J9" s="2">
        <v>1.0189999999999999</v>
      </c>
      <c r="K9" s="2">
        <v>5.8000000000000003E-2</v>
      </c>
      <c r="L9" s="2">
        <v>6.2E-2</v>
      </c>
      <c r="M9" s="2">
        <v>5.8000000000000003E-2</v>
      </c>
    </row>
    <row r="11" spans="1:13" x14ac:dyDescent="0.25">
      <c r="A11" s="3" t="s">
        <v>20</v>
      </c>
      <c r="B11" s="4">
        <v>1</v>
      </c>
      <c r="C11" s="4">
        <v>2</v>
      </c>
      <c r="D11" s="4">
        <v>3</v>
      </c>
      <c r="E11" s="4">
        <v>4</v>
      </c>
      <c r="F11" s="4">
        <v>5</v>
      </c>
      <c r="G11" s="4">
        <v>6</v>
      </c>
      <c r="H11" s="4">
        <v>7</v>
      </c>
      <c r="I11" s="4">
        <v>8</v>
      </c>
      <c r="J11" s="4">
        <v>9</v>
      </c>
      <c r="K11" s="4">
        <v>10</v>
      </c>
      <c r="L11" s="4">
        <v>11</v>
      </c>
      <c r="M11" s="4">
        <v>12</v>
      </c>
    </row>
    <row r="12" spans="1:13" x14ac:dyDescent="0.25">
      <c r="A12" s="4" t="s">
        <v>12</v>
      </c>
      <c r="B12" s="6" t="s">
        <v>21</v>
      </c>
      <c r="C12" s="6" t="s">
        <v>21</v>
      </c>
      <c r="D12" s="6" t="s">
        <v>21</v>
      </c>
      <c r="E12" s="6"/>
      <c r="F12" s="6"/>
      <c r="G12" s="6"/>
      <c r="H12" s="6"/>
      <c r="I12" s="6"/>
      <c r="J12" s="6"/>
      <c r="K12" s="6"/>
      <c r="L12" s="6"/>
      <c r="M12" s="6"/>
    </row>
    <row r="13" spans="1:13" x14ac:dyDescent="0.25">
      <c r="A13" s="4" t="s">
        <v>13</v>
      </c>
      <c r="B13" s="6" t="s">
        <v>22</v>
      </c>
      <c r="C13" s="6" t="s">
        <v>22</v>
      </c>
      <c r="D13" s="6" t="s">
        <v>22</v>
      </c>
      <c r="E13" s="6"/>
      <c r="F13" s="6"/>
      <c r="G13" s="6"/>
      <c r="H13" s="6"/>
      <c r="I13" s="6"/>
      <c r="J13" s="6"/>
      <c r="K13" s="6"/>
      <c r="L13" s="6"/>
      <c r="M13" s="6"/>
    </row>
    <row r="14" spans="1:13" x14ac:dyDescent="0.25">
      <c r="A14" s="4" t="s">
        <v>14</v>
      </c>
      <c r="B14" s="6" t="s">
        <v>23</v>
      </c>
      <c r="C14" s="6" t="s">
        <v>23</v>
      </c>
      <c r="D14" s="6" t="s">
        <v>23</v>
      </c>
      <c r="E14" s="6"/>
      <c r="F14" s="6"/>
      <c r="G14" s="6"/>
      <c r="H14" s="6"/>
      <c r="I14" s="6"/>
      <c r="J14" s="6"/>
      <c r="K14" s="6"/>
      <c r="L14" s="6"/>
      <c r="M14" s="6"/>
    </row>
    <row r="15" spans="1:13" x14ac:dyDescent="0.25">
      <c r="A15" s="4" t="s">
        <v>15</v>
      </c>
      <c r="B15" s="6" t="s">
        <v>24</v>
      </c>
      <c r="C15" s="6" t="s">
        <v>24</v>
      </c>
      <c r="D15" s="6" t="s">
        <v>24</v>
      </c>
      <c r="E15" s="6"/>
      <c r="F15" s="6"/>
      <c r="G15" s="6"/>
      <c r="H15" s="6"/>
      <c r="I15" s="6"/>
      <c r="J15" s="6"/>
      <c r="K15" s="6"/>
      <c r="L15" s="6"/>
      <c r="M15" s="6"/>
    </row>
    <row r="16" spans="1:13" x14ac:dyDescent="0.25">
      <c r="A16" s="4" t="s">
        <v>16</v>
      </c>
      <c r="B16" s="6" t="s">
        <v>25</v>
      </c>
      <c r="C16" s="6" t="s">
        <v>25</v>
      </c>
      <c r="D16" s="6" t="s">
        <v>25</v>
      </c>
      <c r="E16" s="6"/>
      <c r="F16" s="6"/>
      <c r="G16" s="6"/>
      <c r="H16" s="6"/>
      <c r="I16" s="6"/>
      <c r="J16" s="6"/>
      <c r="K16" s="6"/>
      <c r="L16" s="6"/>
      <c r="M16" s="6"/>
    </row>
    <row r="17" spans="1:13" x14ac:dyDescent="0.25">
      <c r="A17" s="4" t="s">
        <v>17</v>
      </c>
      <c r="B17" s="6" t="s">
        <v>26</v>
      </c>
      <c r="C17" s="6" t="s">
        <v>26</v>
      </c>
      <c r="D17" s="6" t="s">
        <v>26</v>
      </c>
      <c r="E17" s="6"/>
      <c r="F17" s="6"/>
      <c r="G17" s="6"/>
      <c r="H17" s="6"/>
      <c r="I17" s="6"/>
      <c r="J17" s="6"/>
      <c r="K17" s="6"/>
      <c r="L17" s="6"/>
      <c r="M17" s="6"/>
    </row>
    <row r="18" spans="1:13" x14ac:dyDescent="0.25">
      <c r="A18" s="4" t="s">
        <v>18</v>
      </c>
      <c r="B18" s="6" t="s">
        <v>27</v>
      </c>
      <c r="C18" s="6" t="s">
        <v>27</v>
      </c>
      <c r="D18" s="6" t="s">
        <v>27</v>
      </c>
      <c r="E18" s="6"/>
      <c r="F18" s="6"/>
      <c r="G18" s="6"/>
      <c r="H18" s="6"/>
      <c r="I18" s="6"/>
      <c r="J18" s="6"/>
      <c r="K18" s="6"/>
      <c r="L18" s="6"/>
      <c r="M18" s="6"/>
    </row>
    <row r="19" spans="1:13" x14ac:dyDescent="0.25">
      <c r="A19" s="4" t="s">
        <v>19</v>
      </c>
      <c r="B19" s="6" t="s">
        <v>28</v>
      </c>
      <c r="C19" s="6" t="s">
        <v>28</v>
      </c>
      <c r="D19" s="6" t="s">
        <v>28</v>
      </c>
      <c r="E19" s="6"/>
      <c r="F19" s="6"/>
      <c r="G19" s="6"/>
      <c r="H19" s="6"/>
      <c r="I19" s="6"/>
      <c r="J19" s="6"/>
      <c r="K19" s="6"/>
      <c r="L19" s="6"/>
      <c r="M19" s="6"/>
    </row>
    <row r="21" spans="1:13" ht="30" x14ac:dyDescent="0.25">
      <c r="A21" s="3" t="s">
        <v>29</v>
      </c>
      <c r="B21" s="4">
        <v>1</v>
      </c>
      <c r="C21" s="4">
        <v>2</v>
      </c>
      <c r="D21" s="4">
        <v>3</v>
      </c>
      <c r="E21" s="4">
        <v>4</v>
      </c>
      <c r="F21" s="4">
        <v>5</v>
      </c>
      <c r="G21" s="4">
        <v>6</v>
      </c>
      <c r="H21" s="4">
        <v>7</v>
      </c>
      <c r="I21" s="4">
        <v>8</v>
      </c>
      <c r="J21" s="4">
        <v>9</v>
      </c>
      <c r="K21" s="4">
        <v>10</v>
      </c>
      <c r="L21" s="4">
        <v>11</v>
      </c>
      <c r="M21" s="4">
        <v>12</v>
      </c>
    </row>
    <row r="22" spans="1:13" x14ac:dyDescent="0.25">
      <c r="A22" s="4" t="s">
        <v>12</v>
      </c>
      <c r="B22" s="2">
        <v>1</v>
      </c>
      <c r="C22" s="2">
        <v>1</v>
      </c>
      <c r="D22" s="2">
        <v>1</v>
      </c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25">
      <c r="A23" s="4" t="s">
        <v>13</v>
      </c>
      <c r="B23" s="2">
        <v>1</v>
      </c>
      <c r="C23" s="2">
        <v>1</v>
      </c>
      <c r="D23" s="2">
        <v>1</v>
      </c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5">
      <c r="A24" s="4" t="s">
        <v>14</v>
      </c>
      <c r="B24" s="2">
        <v>1</v>
      </c>
      <c r="C24" s="2">
        <v>1</v>
      </c>
      <c r="D24" s="2">
        <v>1</v>
      </c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5">
      <c r="A25" s="4" t="s">
        <v>15</v>
      </c>
      <c r="B25" s="2">
        <v>1</v>
      </c>
      <c r="C25" s="2">
        <v>1</v>
      </c>
      <c r="D25" s="2">
        <v>1</v>
      </c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25">
      <c r="A26" s="4" t="s">
        <v>16</v>
      </c>
      <c r="B26" s="2">
        <v>1</v>
      </c>
      <c r="C26" s="2">
        <v>1</v>
      </c>
      <c r="D26" s="2">
        <v>1</v>
      </c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25">
      <c r="A27" s="4" t="s">
        <v>17</v>
      </c>
      <c r="B27" s="2">
        <v>1</v>
      </c>
      <c r="C27" s="2">
        <v>1</v>
      </c>
      <c r="D27" s="2">
        <v>1</v>
      </c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25">
      <c r="A28" s="4" t="s">
        <v>18</v>
      </c>
      <c r="B28" s="2">
        <v>1</v>
      </c>
      <c r="C28" s="2">
        <v>1</v>
      </c>
      <c r="D28" s="2">
        <v>1</v>
      </c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25">
      <c r="A29" s="4" t="s">
        <v>19</v>
      </c>
      <c r="B29" s="2">
        <v>1</v>
      </c>
      <c r="C29" s="2">
        <v>1</v>
      </c>
      <c r="D29" s="2">
        <v>1</v>
      </c>
      <c r="E29" s="2"/>
      <c r="F29" s="2"/>
      <c r="G29" s="2"/>
      <c r="H29" s="2"/>
      <c r="I29" s="2"/>
      <c r="J29" s="2"/>
      <c r="K29" s="2"/>
      <c r="L29" s="2"/>
      <c r="M29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48C2A-8725-4A72-A327-56E885CAB439}">
  <dimension ref="A1:M29"/>
  <sheetViews>
    <sheetView workbookViewId="0">
      <selection activeCell="A10" sqref="A10:N30"/>
    </sheetView>
  </sheetViews>
  <sheetFormatPr defaultRowHeight="15" x14ac:dyDescent="0.25"/>
  <sheetData>
    <row r="1" spans="1:13" x14ac:dyDescent="0.25">
      <c r="A1" s="3"/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</row>
    <row r="2" spans="1:13" x14ac:dyDescent="0.25">
      <c r="A2" s="4" t="s">
        <v>12</v>
      </c>
      <c r="B2" s="2">
        <v>5.3999999999999999E-2</v>
      </c>
      <c r="C2" s="2">
        <v>5.2999999999999999E-2</v>
      </c>
      <c r="D2" s="2">
        <v>5.8999999999999997E-2</v>
      </c>
      <c r="E2" s="2">
        <v>0.08</v>
      </c>
      <c r="F2" s="2">
        <v>7.6999999999999999E-2</v>
      </c>
      <c r="G2" s="2">
        <v>7.6999999999999999E-2</v>
      </c>
      <c r="H2" s="2">
        <v>0.11</v>
      </c>
      <c r="I2" s="2">
        <v>0.113</v>
      </c>
      <c r="J2" s="2">
        <v>0.13</v>
      </c>
      <c r="K2" s="2">
        <v>6.8000000000000005E-2</v>
      </c>
      <c r="L2" s="2">
        <v>7.0999999999999994E-2</v>
      </c>
      <c r="M2" s="2">
        <v>7.0999999999999994E-2</v>
      </c>
    </row>
    <row r="3" spans="1:13" x14ac:dyDescent="0.25">
      <c r="A3" s="4" t="s">
        <v>13</v>
      </c>
      <c r="B3" s="2">
        <v>0.14699999999999999</v>
      </c>
      <c r="C3" s="2">
        <v>0.17299999999999999</v>
      </c>
      <c r="D3" s="2">
        <v>0.154</v>
      </c>
      <c r="E3" s="2">
        <v>6.8000000000000005E-2</v>
      </c>
      <c r="F3" s="2">
        <v>6.6000000000000003E-2</v>
      </c>
      <c r="G3" s="2">
        <v>6.6000000000000003E-2</v>
      </c>
      <c r="H3" s="2">
        <v>1.708</v>
      </c>
      <c r="I3" s="2">
        <v>1.647</v>
      </c>
      <c r="J3" s="2">
        <v>1.613</v>
      </c>
      <c r="K3" s="2">
        <v>8.5000000000000006E-2</v>
      </c>
      <c r="L3" s="2">
        <v>8.5999999999999993E-2</v>
      </c>
      <c r="M3" s="2">
        <v>0.08</v>
      </c>
    </row>
    <row r="4" spans="1:13" x14ac:dyDescent="0.25">
      <c r="A4" s="4" t="s">
        <v>14</v>
      </c>
      <c r="B4" s="2">
        <v>0.34599999999999997</v>
      </c>
      <c r="C4" s="2">
        <v>0.371</v>
      </c>
      <c r="D4" s="2">
        <v>0.38900000000000001</v>
      </c>
      <c r="E4" s="2">
        <v>0.12</v>
      </c>
      <c r="F4" s="2">
        <v>0.115</v>
      </c>
      <c r="G4" s="2">
        <v>0.11799999999999999</v>
      </c>
      <c r="H4" s="2">
        <v>0.376</v>
      </c>
      <c r="I4" s="2">
        <v>0.374</v>
      </c>
      <c r="J4" s="2">
        <v>0.40300000000000002</v>
      </c>
      <c r="K4" s="2">
        <v>8.2000000000000003E-2</v>
      </c>
      <c r="L4" s="2">
        <v>8.8999999999999996E-2</v>
      </c>
      <c r="M4" s="2">
        <v>8.2000000000000003E-2</v>
      </c>
    </row>
    <row r="5" spans="1:13" x14ac:dyDescent="0.25">
      <c r="A5" s="4" t="s">
        <v>15</v>
      </c>
      <c r="B5" s="2">
        <v>0.63600000000000001</v>
      </c>
      <c r="C5" s="2">
        <v>0.68600000000000005</v>
      </c>
      <c r="D5" s="2">
        <v>0.64800000000000002</v>
      </c>
      <c r="E5" s="2">
        <v>0.108</v>
      </c>
      <c r="F5" s="2">
        <v>0.11</v>
      </c>
      <c r="G5" s="2">
        <v>0.10299999999999999</v>
      </c>
      <c r="H5" s="2">
        <v>0.109</v>
      </c>
      <c r="I5" s="2">
        <v>0.104</v>
      </c>
      <c r="J5" s="2">
        <v>0.104</v>
      </c>
      <c r="K5" s="2">
        <v>6.5000000000000002E-2</v>
      </c>
      <c r="L5" s="2">
        <v>6.5000000000000002E-2</v>
      </c>
      <c r="M5" s="2">
        <v>6.4000000000000001E-2</v>
      </c>
    </row>
    <row r="6" spans="1:13" x14ac:dyDescent="0.25">
      <c r="A6" s="4" t="s">
        <v>16</v>
      </c>
      <c r="B6" s="2">
        <v>1.095</v>
      </c>
      <c r="C6" s="2">
        <v>0.99299999999999999</v>
      </c>
      <c r="D6" s="2">
        <v>1.0149999999999999</v>
      </c>
      <c r="E6" s="2">
        <v>7.0000000000000007E-2</v>
      </c>
      <c r="F6" s="2">
        <v>7.0999999999999994E-2</v>
      </c>
      <c r="G6" s="2">
        <v>6.5000000000000002E-2</v>
      </c>
      <c r="H6" s="2">
        <v>0.312</v>
      </c>
      <c r="I6" s="2">
        <v>0.318</v>
      </c>
      <c r="J6" s="2">
        <v>0.26600000000000001</v>
      </c>
      <c r="K6" s="2">
        <v>7.3999999999999996E-2</v>
      </c>
      <c r="L6" s="2">
        <v>6.7000000000000004E-2</v>
      </c>
      <c r="M6" s="2">
        <v>6.9000000000000006E-2</v>
      </c>
    </row>
    <row r="7" spans="1:13" x14ac:dyDescent="0.25">
      <c r="A7" s="4" t="s">
        <v>17</v>
      </c>
      <c r="B7" s="2">
        <v>1.819</v>
      </c>
      <c r="C7" s="2">
        <v>1.72</v>
      </c>
      <c r="D7" s="2">
        <v>1.728</v>
      </c>
      <c r="E7" s="2">
        <v>0.128</v>
      </c>
      <c r="F7" s="2">
        <v>0.13400000000000001</v>
      </c>
      <c r="G7" s="2">
        <v>0.125</v>
      </c>
      <c r="H7" s="2">
        <v>0.29599999999999999</v>
      </c>
      <c r="I7" s="2">
        <v>0.27300000000000002</v>
      </c>
      <c r="J7" s="2">
        <v>0.27800000000000002</v>
      </c>
      <c r="K7" s="2">
        <v>8.3000000000000004E-2</v>
      </c>
      <c r="L7" s="2">
        <v>7.5999999999999998E-2</v>
      </c>
      <c r="M7" s="2">
        <v>7.5999999999999998E-2</v>
      </c>
    </row>
    <row r="8" spans="1:13" x14ac:dyDescent="0.25">
      <c r="A8" s="4" t="s">
        <v>18</v>
      </c>
      <c r="B8" s="2">
        <v>1.669</v>
      </c>
      <c r="C8" s="2">
        <v>1.6479999999999999</v>
      </c>
      <c r="D8" s="2">
        <v>1.768</v>
      </c>
      <c r="E8" s="2">
        <v>8.1000000000000003E-2</v>
      </c>
      <c r="F8" s="2">
        <v>8.3000000000000004E-2</v>
      </c>
      <c r="G8" s="2">
        <v>8.3000000000000004E-2</v>
      </c>
      <c r="H8" s="2">
        <v>6.3E-2</v>
      </c>
      <c r="I8" s="2">
        <v>6.3E-2</v>
      </c>
      <c r="J8" s="2">
        <v>6.2E-2</v>
      </c>
      <c r="K8" s="2">
        <v>6.4000000000000001E-2</v>
      </c>
      <c r="L8" s="2">
        <v>6.8000000000000005E-2</v>
      </c>
      <c r="M8" s="2">
        <v>6.5000000000000002E-2</v>
      </c>
    </row>
    <row r="9" spans="1:13" x14ac:dyDescent="0.25">
      <c r="A9" s="4" t="s">
        <v>19</v>
      </c>
      <c r="B9" s="2">
        <v>1.681</v>
      </c>
      <c r="C9" s="2">
        <v>1.6859999999999999</v>
      </c>
      <c r="D9" s="2">
        <v>1.931</v>
      </c>
      <c r="E9" s="2">
        <v>6.0999999999999999E-2</v>
      </c>
      <c r="F9" s="2">
        <v>6.3E-2</v>
      </c>
      <c r="G9" s="2">
        <v>6.6000000000000003E-2</v>
      </c>
      <c r="H9" s="2">
        <v>6.2E-2</v>
      </c>
      <c r="I9" s="2">
        <v>6.2E-2</v>
      </c>
      <c r="J9" s="2">
        <v>6.4000000000000001E-2</v>
      </c>
      <c r="K9" s="2">
        <v>7.9000000000000001E-2</v>
      </c>
      <c r="L9" s="2">
        <v>7.4999999999999997E-2</v>
      </c>
      <c r="M9" s="2">
        <v>8.5000000000000006E-2</v>
      </c>
    </row>
    <row r="11" spans="1:13" x14ac:dyDescent="0.25">
      <c r="A11" s="3" t="s">
        <v>20</v>
      </c>
      <c r="B11" s="4">
        <v>1</v>
      </c>
      <c r="C11" s="4">
        <v>2</v>
      </c>
      <c r="D11" s="4">
        <v>3</v>
      </c>
      <c r="E11" s="4">
        <v>4</v>
      </c>
      <c r="F11" s="4">
        <v>5</v>
      </c>
      <c r="G11" s="4">
        <v>6</v>
      </c>
      <c r="H11" s="4">
        <v>7</v>
      </c>
      <c r="I11" s="4">
        <v>8</v>
      </c>
      <c r="J11" s="4">
        <v>9</v>
      </c>
      <c r="K11" s="4">
        <v>10</v>
      </c>
      <c r="L11" s="4">
        <v>11</v>
      </c>
      <c r="M11" s="4">
        <v>12</v>
      </c>
    </row>
    <row r="12" spans="1:13" x14ac:dyDescent="0.25">
      <c r="A12" s="4" t="s">
        <v>12</v>
      </c>
      <c r="B12" s="6" t="s">
        <v>21</v>
      </c>
      <c r="C12" s="6" t="s">
        <v>21</v>
      </c>
      <c r="D12" s="6" t="s">
        <v>21</v>
      </c>
      <c r="E12" s="6"/>
      <c r="F12" s="6"/>
      <c r="G12" s="6"/>
      <c r="H12" s="6"/>
      <c r="I12" s="6"/>
      <c r="J12" s="6"/>
      <c r="K12" s="6"/>
      <c r="L12" s="6"/>
      <c r="M12" s="6"/>
    </row>
    <row r="13" spans="1:13" x14ac:dyDescent="0.25">
      <c r="A13" s="4" t="s">
        <v>13</v>
      </c>
      <c r="B13" s="6" t="s">
        <v>22</v>
      </c>
      <c r="C13" s="6" t="s">
        <v>22</v>
      </c>
      <c r="D13" s="6" t="s">
        <v>22</v>
      </c>
      <c r="E13" s="6"/>
      <c r="F13" s="6"/>
      <c r="G13" s="6"/>
      <c r="H13" s="6"/>
      <c r="I13" s="6"/>
      <c r="J13" s="6"/>
      <c r="K13" s="6"/>
      <c r="L13" s="6"/>
      <c r="M13" s="6"/>
    </row>
    <row r="14" spans="1:13" x14ac:dyDescent="0.25">
      <c r="A14" s="4" t="s">
        <v>14</v>
      </c>
      <c r="B14" s="6" t="s">
        <v>23</v>
      </c>
      <c r="C14" s="6" t="s">
        <v>23</v>
      </c>
      <c r="D14" s="6" t="s">
        <v>23</v>
      </c>
      <c r="E14" s="6"/>
      <c r="F14" s="6"/>
      <c r="G14" s="6"/>
      <c r="H14" s="6"/>
      <c r="I14" s="6"/>
      <c r="J14" s="6"/>
      <c r="K14" s="6"/>
      <c r="L14" s="6"/>
      <c r="M14" s="6"/>
    </row>
    <row r="15" spans="1:13" x14ac:dyDescent="0.25">
      <c r="A15" s="4" t="s">
        <v>15</v>
      </c>
      <c r="B15" s="6" t="s">
        <v>24</v>
      </c>
      <c r="C15" s="6" t="s">
        <v>24</v>
      </c>
      <c r="D15" s="6" t="s">
        <v>24</v>
      </c>
      <c r="E15" s="6"/>
      <c r="F15" s="6"/>
      <c r="G15" s="6"/>
      <c r="H15" s="6"/>
      <c r="I15" s="6"/>
      <c r="J15" s="6"/>
      <c r="K15" s="6"/>
      <c r="L15" s="6"/>
      <c r="M15" s="6"/>
    </row>
    <row r="16" spans="1:13" x14ac:dyDescent="0.25">
      <c r="A16" s="4" t="s">
        <v>16</v>
      </c>
      <c r="B16" s="6" t="s">
        <v>25</v>
      </c>
      <c r="C16" s="6" t="s">
        <v>25</v>
      </c>
      <c r="D16" s="6" t="s">
        <v>25</v>
      </c>
      <c r="E16" s="6"/>
      <c r="F16" s="6"/>
      <c r="G16" s="6"/>
      <c r="H16" s="6"/>
      <c r="I16" s="6"/>
      <c r="J16" s="6"/>
      <c r="K16" s="6"/>
      <c r="L16" s="6"/>
      <c r="M16" s="6"/>
    </row>
    <row r="17" spans="1:13" x14ac:dyDescent="0.25">
      <c r="A17" s="4" t="s">
        <v>17</v>
      </c>
      <c r="B17" s="6" t="s">
        <v>26</v>
      </c>
      <c r="C17" s="6" t="s">
        <v>26</v>
      </c>
      <c r="D17" s="6" t="s">
        <v>26</v>
      </c>
      <c r="E17" s="6"/>
      <c r="F17" s="6"/>
      <c r="G17" s="6"/>
      <c r="H17" s="6"/>
      <c r="I17" s="6"/>
      <c r="J17" s="6"/>
      <c r="K17" s="6"/>
      <c r="L17" s="6"/>
      <c r="M17" s="6"/>
    </row>
    <row r="18" spans="1:13" x14ac:dyDescent="0.25">
      <c r="A18" s="4" t="s">
        <v>18</v>
      </c>
      <c r="B18" s="6" t="s">
        <v>27</v>
      </c>
      <c r="C18" s="6" t="s">
        <v>27</v>
      </c>
      <c r="D18" s="6" t="s">
        <v>27</v>
      </c>
      <c r="E18" s="6"/>
      <c r="F18" s="6"/>
      <c r="G18" s="6"/>
      <c r="H18" s="6"/>
      <c r="I18" s="6"/>
      <c r="J18" s="6"/>
      <c r="K18" s="6"/>
      <c r="L18" s="6"/>
      <c r="M18" s="6"/>
    </row>
    <row r="19" spans="1:13" x14ac:dyDescent="0.25">
      <c r="A19" s="4" t="s">
        <v>19</v>
      </c>
      <c r="B19" s="6" t="s">
        <v>28</v>
      </c>
      <c r="C19" s="6" t="s">
        <v>28</v>
      </c>
      <c r="D19" s="6" t="s">
        <v>28</v>
      </c>
      <c r="E19" s="6"/>
      <c r="F19" s="6"/>
      <c r="G19" s="6"/>
      <c r="H19" s="6"/>
      <c r="I19" s="6"/>
      <c r="J19" s="6"/>
      <c r="K19" s="6"/>
      <c r="L19" s="6"/>
      <c r="M19" s="6"/>
    </row>
    <row r="21" spans="1:13" ht="30" x14ac:dyDescent="0.25">
      <c r="A21" s="3" t="s">
        <v>29</v>
      </c>
      <c r="B21" s="4">
        <v>1</v>
      </c>
      <c r="C21" s="4">
        <v>2</v>
      </c>
      <c r="D21" s="4">
        <v>3</v>
      </c>
      <c r="E21" s="4">
        <v>4</v>
      </c>
      <c r="F21" s="4">
        <v>5</v>
      </c>
      <c r="G21" s="4">
        <v>6</v>
      </c>
      <c r="H21" s="4">
        <v>7</v>
      </c>
      <c r="I21" s="4">
        <v>8</v>
      </c>
      <c r="J21" s="4">
        <v>9</v>
      </c>
      <c r="K21" s="4">
        <v>10</v>
      </c>
      <c r="L21" s="4">
        <v>11</v>
      </c>
      <c r="M21" s="4">
        <v>12</v>
      </c>
    </row>
    <row r="22" spans="1:13" x14ac:dyDescent="0.25">
      <c r="A22" s="4" t="s">
        <v>12</v>
      </c>
      <c r="B22" s="2">
        <v>1</v>
      </c>
      <c r="C22" s="2">
        <v>1</v>
      </c>
      <c r="D22" s="2">
        <v>1</v>
      </c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25">
      <c r="A23" s="4" t="s">
        <v>13</v>
      </c>
      <c r="B23" s="2">
        <v>1</v>
      </c>
      <c r="C23" s="2">
        <v>1</v>
      </c>
      <c r="D23" s="2">
        <v>1</v>
      </c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5">
      <c r="A24" s="4" t="s">
        <v>14</v>
      </c>
      <c r="B24" s="2">
        <v>1</v>
      </c>
      <c r="C24" s="2">
        <v>1</v>
      </c>
      <c r="D24" s="2">
        <v>1</v>
      </c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5">
      <c r="A25" s="4" t="s">
        <v>15</v>
      </c>
      <c r="B25" s="2">
        <v>1</v>
      </c>
      <c r="C25" s="2">
        <v>1</v>
      </c>
      <c r="D25" s="2">
        <v>1</v>
      </c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25">
      <c r="A26" s="4" t="s">
        <v>16</v>
      </c>
      <c r="B26" s="2">
        <v>1</v>
      </c>
      <c r="C26" s="2">
        <v>1</v>
      </c>
      <c r="D26" s="2">
        <v>1</v>
      </c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25">
      <c r="A27" s="4" t="s">
        <v>17</v>
      </c>
      <c r="B27" s="2">
        <v>1</v>
      </c>
      <c r="C27" s="2">
        <v>1</v>
      </c>
      <c r="D27" s="2">
        <v>1</v>
      </c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25">
      <c r="A28" s="4" t="s">
        <v>18</v>
      </c>
      <c r="B28" s="2">
        <v>1</v>
      </c>
      <c r="C28" s="2">
        <v>1</v>
      </c>
      <c r="D28" s="2">
        <v>1</v>
      </c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25">
      <c r="A29" s="4" t="s">
        <v>19</v>
      </c>
      <c r="B29" s="2">
        <v>1</v>
      </c>
      <c r="C29" s="2">
        <v>1</v>
      </c>
      <c r="D29" s="2">
        <v>1</v>
      </c>
      <c r="E29" s="2"/>
      <c r="F29" s="2"/>
      <c r="G29" s="2"/>
      <c r="H29" s="2"/>
      <c r="I29" s="2"/>
      <c r="J29" s="2"/>
      <c r="K29" s="2"/>
      <c r="L29" s="2"/>
      <c r="M29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E3DB6-2126-4229-AF12-424F5D3224D5}">
  <dimension ref="A1:M29"/>
  <sheetViews>
    <sheetView workbookViewId="0">
      <selection activeCell="A10" sqref="A10:N31"/>
    </sheetView>
  </sheetViews>
  <sheetFormatPr defaultRowHeight="15" x14ac:dyDescent="0.25"/>
  <sheetData>
    <row r="1" spans="1:13" x14ac:dyDescent="0.25">
      <c r="A1" s="3"/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</row>
    <row r="2" spans="1:13" x14ac:dyDescent="0.25">
      <c r="A2" s="4" t="s">
        <v>12</v>
      </c>
      <c r="B2" s="2">
        <v>5.5E-2</v>
      </c>
      <c r="C2" s="2">
        <v>5.5E-2</v>
      </c>
      <c r="D2" s="2">
        <v>5.3999999999999999E-2</v>
      </c>
      <c r="E2" s="2">
        <v>5.1999999999999998E-2</v>
      </c>
      <c r="F2" s="2">
        <v>5.5E-2</v>
      </c>
      <c r="G2" s="2">
        <v>5.3999999999999999E-2</v>
      </c>
      <c r="H2" s="2">
        <v>6.2E-2</v>
      </c>
      <c r="I2" s="2">
        <v>5.8999999999999997E-2</v>
      </c>
      <c r="J2" s="2">
        <v>0.06</v>
      </c>
      <c r="K2" s="2">
        <v>1.252</v>
      </c>
      <c r="L2" s="2">
        <v>1.077</v>
      </c>
      <c r="M2" s="2">
        <v>1.0880000000000001</v>
      </c>
    </row>
    <row r="3" spans="1:13" x14ac:dyDescent="0.25">
      <c r="A3" s="4" t="s">
        <v>13</v>
      </c>
      <c r="B3" s="2">
        <v>0.183</v>
      </c>
      <c r="C3" s="2">
        <v>0.26100000000000001</v>
      </c>
      <c r="D3" s="2">
        <v>0.159</v>
      </c>
      <c r="E3" s="2">
        <v>5.3999999999999999E-2</v>
      </c>
      <c r="F3" s="2">
        <v>5.0999999999999997E-2</v>
      </c>
      <c r="G3" s="2">
        <v>5.5E-2</v>
      </c>
      <c r="H3" s="2">
        <v>6.6000000000000003E-2</v>
      </c>
      <c r="I3" s="2">
        <v>6.5000000000000002E-2</v>
      </c>
      <c r="J3" s="2">
        <v>6.3E-2</v>
      </c>
      <c r="K3" s="2">
        <v>1.0009999999999999</v>
      </c>
      <c r="L3" s="2">
        <v>0.92900000000000005</v>
      </c>
      <c r="M3" s="2">
        <v>0.72099999999999997</v>
      </c>
    </row>
    <row r="4" spans="1:13" x14ac:dyDescent="0.25">
      <c r="A4" s="4" t="s">
        <v>14</v>
      </c>
      <c r="B4" s="2">
        <v>0.373</v>
      </c>
      <c r="C4" s="2">
        <v>0.314</v>
      </c>
      <c r="D4" s="2">
        <v>0.40799999999999997</v>
      </c>
      <c r="E4" s="2">
        <v>5.3999999999999999E-2</v>
      </c>
      <c r="F4" s="2">
        <v>5.3999999999999999E-2</v>
      </c>
      <c r="G4" s="2">
        <v>5.2999999999999999E-2</v>
      </c>
      <c r="H4" s="2">
        <v>0.107</v>
      </c>
      <c r="I4" s="2">
        <v>0.113</v>
      </c>
      <c r="J4" s="2">
        <v>0.10299999999999999</v>
      </c>
      <c r="K4" s="2">
        <v>0.32</v>
      </c>
      <c r="L4" s="2">
        <v>0.28899999999999998</v>
      </c>
      <c r="M4" s="2">
        <v>0.21199999999999999</v>
      </c>
    </row>
    <row r="5" spans="1:13" x14ac:dyDescent="0.25">
      <c r="A5" s="4" t="s">
        <v>15</v>
      </c>
      <c r="B5" s="2">
        <v>0.68200000000000005</v>
      </c>
      <c r="C5" s="2">
        <v>0.81899999999999995</v>
      </c>
      <c r="D5" s="2">
        <v>0.81599999999999995</v>
      </c>
      <c r="E5" s="2">
        <v>0.06</v>
      </c>
      <c r="F5" s="2">
        <v>6.0999999999999999E-2</v>
      </c>
      <c r="G5" s="2">
        <v>0.06</v>
      </c>
      <c r="H5" s="2">
        <v>0.373</v>
      </c>
      <c r="I5" s="2">
        <v>0.33500000000000002</v>
      </c>
      <c r="J5" s="2">
        <v>0.32200000000000001</v>
      </c>
      <c r="K5" s="2">
        <v>1.4530000000000001</v>
      </c>
      <c r="L5" s="2">
        <v>1.369</v>
      </c>
      <c r="M5" s="2">
        <v>1.2809999999999999</v>
      </c>
    </row>
    <row r="6" spans="1:13" x14ac:dyDescent="0.25">
      <c r="A6" s="4" t="s">
        <v>16</v>
      </c>
      <c r="B6" s="2">
        <v>1.3220000000000001</v>
      </c>
      <c r="C6" s="2">
        <v>1.266</v>
      </c>
      <c r="D6" s="2">
        <v>1.0720000000000001</v>
      </c>
      <c r="E6" s="2">
        <v>6.2E-2</v>
      </c>
      <c r="F6" s="2">
        <v>6.2E-2</v>
      </c>
      <c r="G6" s="2">
        <v>6.3E-2</v>
      </c>
      <c r="H6" s="2">
        <v>1.069</v>
      </c>
      <c r="I6" s="2">
        <v>0.752</v>
      </c>
      <c r="J6" s="2">
        <v>1.173</v>
      </c>
      <c r="K6" s="2">
        <v>0.28299999999999997</v>
      </c>
      <c r="L6" s="2">
        <v>4.4999999999999998E-2</v>
      </c>
      <c r="M6" s="2">
        <v>4.3999999999999997E-2</v>
      </c>
    </row>
    <row r="7" spans="1:13" x14ac:dyDescent="0.25">
      <c r="A7" s="4" t="s">
        <v>17</v>
      </c>
      <c r="B7" s="2">
        <v>1.7809999999999999</v>
      </c>
      <c r="C7" s="2">
        <v>1.923</v>
      </c>
      <c r="D7" s="2">
        <v>1.919</v>
      </c>
      <c r="E7" s="2">
        <v>5.6000000000000001E-2</v>
      </c>
      <c r="F7" s="2">
        <v>5.7000000000000002E-2</v>
      </c>
      <c r="G7" s="2">
        <v>5.8999999999999997E-2</v>
      </c>
      <c r="H7" s="2">
        <v>0.79</v>
      </c>
      <c r="I7" s="2">
        <v>1.23</v>
      </c>
      <c r="J7" s="2">
        <v>1.0580000000000001</v>
      </c>
      <c r="K7" s="2">
        <v>4.3999999999999997E-2</v>
      </c>
      <c r="L7" s="2">
        <v>4.3999999999999997E-2</v>
      </c>
      <c r="M7" s="2">
        <v>4.3999999999999997E-2</v>
      </c>
    </row>
    <row r="8" spans="1:13" x14ac:dyDescent="0.25">
      <c r="A8" s="4" t="s">
        <v>18</v>
      </c>
      <c r="B8" s="2">
        <v>1.746</v>
      </c>
      <c r="C8" s="2">
        <v>1.57</v>
      </c>
      <c r="D8" s="2">
        <v>1.877</v>
      </c>
      <c r="E8" s="2">
        <v>5.6000000000000001E-2</v>
      </c>
      <c r="F8" s="2">
        <v>5.7000000000000002E-2</v>
      </c>
      <c r="G8" s="2">
        <v>5.6000000000000001E-2</v>
      </c>
      <c r="H8" s="2">
        <v>1.3939999999999999</v>
      </c>
      <c r="I8" s="2">
        <v>1.1080000000000001</v>
      </c>
      <c r="J8" s="2">
        <v>1.105</v>
      </c>
      <c r="K8" s="2">
        <v>4.4999999999999998E-2</v>
      </c>
      <c r="L8" s="2">
        <v>4.4999999999999998E-2</v>
      </c>
      <c r="M8" s="2">
        <v>4.3999999999999997E-2</v>
      </c>
    </row>
    <row r="9" spans="1:13" x14ac:dyDescent="0.25">
      <c r="A9" s="4" t="s">
        <v>19</v>
      </c>
      <c r="B9" s="2">
        <v>1.915</v>
      </c>
      <c r="C9" s="2">
        <v>1.788</v>
      </c>
      <c r="D9" s="2">
        <v>1.8480000000000001</v>
      </c>
      <c r="E9" s="2">
        <v>0.06</v>
      </c>
      <c r="F9" s="2">
        <v>5.8999999999999997E-2</v>
      </c>
      <c r="G9" s="2">
        <v>0.06</v>
      </c>
      <c r="H9" s="2">
        <v>1.1990000000000001</v>
      </c>
      <c r="I9" s="2">
        <v>1.2370000000000001</v>
      </c>
      <c r="J9" s="2">
        <v>1.03</v>
      </c>
      <c r="K9" s="2">
        <v>4.3999999999999997E-2</v>
      </c>
      <c r="L9" s="2">
        <v>4.4999999999999998E-2</v>
      </c>
      <c r="M9" s="2">
        <v>4.3999999999999997E-2</v>
      </c>
    </row>
    <row r="11" spans="1:13" x14ac:dyDescent="0.25">
      <c r="A11" s="3" t="s">
        <v>20</v>
      </c>
      <c r="B11" s="4">
        <v>1</v>
      </c>
      <c r="C11" s="4">
        <v>2</v>
      </c>
      <c r="D11" s="4">
        <v>3</v>
      </c>
      <c r="E11" s="4">
        <v>4</v>
      </c>
      <c r="F11" s="4">
        <v>5</v>
      </c>
      <c r="G11" s="4">
        <v>6</v>
      </c>
      <c r="H11" s="4">
        <v>7</v>
      </c>
      <c r="I11" s="4">
        <v>8</v>
      </c>
      <c r="J11" s="4">
        <v>9</v>
      </c>
      <c r="K11" s="4">
        <v>10</v>
      </c>
      <c r="L11" s="4">
        <v>11</v>
      </c>
      <c r="M11" s="4">
        <v>12</v>
      </c>
    </row>
    <row r="12" spans="1:13" x14ac:dyDescent="0.25">
      <c r="A12" s="4" t="s">
        <v>12</v>
      </c>
      <c r="B12" s="6" t="s">
        <v>21</v>
      </c>
      <c r="C12" s="6" t="s">
        <v>21</v>
      </c>
      <c r="D12" s="6" t="s">
        <v>21</v>
      </c>
      <c r="E12" s="6"/>
      <c r="F12" s="6"/>
      <c r="G12" s="6"/>
      <c r="H12" s="6"/>
      <c r="I12" s="6"/>
      <c r="J12" s="6"/>
      <c r="K12" s="6"/>
      <c r="L12" s="6"/>
      <c r="M12" s="6"/>
    </row>
    <row r="13" spans="1:13" x14ac:dyDescent="0.25">
      <c r="A13" s="4" t="s">
        <v>13</v>
      </c>
      <c r="B13" s="6" t="s">
        <v>22</v>
      </c>
      <c r="C13" s="6" t="s">
        <v>22</v>
      </c>
      <c r="D13" s="6" t="s">
        <v>22</v>
      </c>
      <c r="E13" s="6"/>
      <c r="F13" s="6"/>
      <c r="G13" s="6"/>
      <c r="H13" s="6"/>
      <c r="I13" s="6"/>
      <c r="J13" s="6"/>
      <c r="K13" s="6"/>
      <c r="L13" s="6"/>
      <c r="M13" s="6"/>
    </row>
    <row r="14" spans="1:13" x14ac:dyDescent="0.25">
      <c r="A14" s="4" t="s">
        <v>14</v>
      </c>
      <c r="B14" s="6" t="s">
        <v>23</v>
      </c>
      <c r="C14" s="6" t="s">
        <v>23</v>
      </c>
      <c r="D14" s="6" t="s">
        <v>23</v>
      </c>
      <c r="E14" s="6"/>
      <c r="F14" s="6"/>
      <c r="G14" s="6"/>
      <c r="H14" s="6"/>
      <c r="I14" s="6"/>
      <c r="J14" s="6"/>
      <c r="K14" s="6"/>
      <c r="L14" s="6"/>
      <c r="M14" s="6"/>
    </row>
    <row r="15" spans="1:13" x14ac:dyDescent="0.25">
      <c r="A15" s="4" t="s">
        <v>15</v>
      </c>
      <c r="B15" s="6" t="s">
        <v>24</v>
      </c>
      <c r="C15" s="6" t="s">
        <v>24</v>
      </c>
      <c r="D15" s="6" t="s">
        <v>24</v>
      </c>
      <c r="E15" s="6"/>
      <c r="F15" s="6"/>
      <c r="G15" s="6"/>
      <c r="H15" s="6"/>
      <c r="I15" s="6"/>
      <c r="J15" s="6"/>
      <c r="K15" s="6"/>
      <c r="L15" s="6"/>
      <c r="M15" s="6"/>
    </row>
    <row r="16" spans="1:13" x14ac:dyDescent="0.25">
      <c r="A16" s="4" t="s">
        <v>16</v>
      </c>
      <c r="B16" s="6" t="s">
        <v>25</v>
      </c>
      <c r="C16" s="6" t="s">
        <v>25</v>
      </c>
      <c r="D16" s="6" t="s">
        <v>25</v>
      </c>
      <c r="E16" s="6"/>
      <c r="F16" s="6"/>
      <c r="G16" s="6"/>
      <c r="H16" s="6"/>
      <c r="I16" s="6"/>
      <c r="J16" s="6"/>
      <c r="K16" s="6"/>
      <c r="L16" s="6"/>
      <c r="M16" s="6"/>
    </row>
    <row r="17" spans="1:13" x14ac:dyDescent="0.25">
      <c r="A17" s="4" t="s">
        <v>17</v>
      </c>
      <c r="B17" s="6" t="s">
        <v>26</v>
      </c>
      <c r="C17" s="6" t="s">
        <v>26</v>
      </c>
      <c r="D17" s="6" t="s">
        <v>26</v>
      </c>
      <c r="E17" s="6"/>
      <c r="F17" s="6"/>
      <c r="G17" s="6"/>
      <c r="H17" s="6"/>
      <c r="I17" s="6"/>
      <c r="J17" s="6"/>
      <c r="K17" s="6"/>
      <c r="L17" s="6"/>
      <c r="M17" s="6"/>
    </row>
    <row r="18" spans="1:13" x14ac:dyDescent="0.25">
      <c r="A18" s="4" t="s">
        <v>18</v>
      </c>
      <c r="B18" s="6" t="s">
        <v>27</v>
      </c>
      <c r="C18" s="6" t="s">
        <v>27</v>
      </c>
      <c r="D18" s="6" t="s">
        <v>27</v>
      </c>
      <c r="E18" s="6"/>
      <c r="F18" s="6"/>
      <c r="G18" s="6"/>
      <c r="H18" s="6"/>
      <c r="I18" s="6"/>
      <c r="J18" s="6"/>
      <c r="K18" s="6"/>
      <c r="L18" s="6"/>
      <c r="M18" s="6"/>
    </row>
    <row r="19" spans="1:13" x14ac:dyDescent="0.25">
      <c r="A19" s="4" t="s">
        <v>19</v>
      </c>
      <c r="B19" s="6" t="s">
        <v>28</v>
      </c>
      <c r="C19" s="6" t="s">
        <v>28</v>
      </c>
      <c r="D19" s="6" t="s">
        <v>28</v>
      </c>
      <c r="E19" s="6"/>
      <c r="F19" s="6"/>
      <c r="G19" s="6"/>
      <c r="H19" s="6"/>
      <c r="I19" s="6"/>
      <c r="J19" s="6"/>
      <c r="K19" s="6"/>
      <c r="L19" s="6"/>
      <c r="M19" s="6"/>
    </row>
    <row r="21" spans="1:13" ht="30" x14ac:dyDescent="0.25">
      <c r="A21" s="3" t="s">
        <v>29</v>
      </c>
      <c r="B21" s="4">
        <v>1</v>
      </c>
      <c r="C21" s="4">
        <v>2</v>
      </c>
      <c r="D21" s="4">
        <v>3</v>
      </c>
      <c r="E21" s="4">
        <v>4</v>
      </c>
      <c r="F21" s="4">
        <v>5</v>
      </c>
      <c r="G21" s="4">
        <v>6</v>
      </c>
      <c r="H21" s="4">
        <v>7</v>
      </c>
      <c r="I21" s="4">
        <v>8</v>
      </c>
      <c r="J21" s="4">
        <v>9</v>
      </c>
      <c r="K21" s="4">
        <v>10</v>
      </c>
      <c r="L21" s="4">
        <v>11</v>
      </c>
      <c r="M21" s="4">
        <v>12</v>
      </c>
    </row>
    <row r="22" spans="1:13" x14ac:dyDescent="0.25">
      <c r="A22" s="4" t="s">
        <v>12</v>
      </c>
      <c r="B22" s="2">
        <v>1</v>
      </c>
      <c r="C22" s="2">
        <v>1</v>
      </c>
      <c r="D22" s="2">
        <v>1</v>
      </c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25">
      <c r="A23" s="4" t="s">
        <v>13</v>
      </c>
      <c r="B23" s="2">
        <v>1</v>
      </c>
      <c r="C23" s="2">
        <v>1</v>
      </c>
      <c r="D23" s="2">
        <v>1</v>
      </c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5">
      <c r="A24" s="4" t="s">
        <v>14</v>
      </c>
      <c r="B24" s="2">
        <v>1</v>
      </c>
      <c r="C24" s="2">
        <v>1</v>
      </c>
      <c r="D24" s="2">
        <v>1</v>
      </c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5">
      <c r="A25" s="4" t="s">
        <v>15</v>
      </c>
      <c r="B25" s="2">
        <v>1</v>
      </c>
      <c r="C25" s="2">
        <v>1</v>
      </c>
      <c r="D25" s="2">
        <v>1</v>
      </c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25">
      <c r="A26" s="4" t="s">
        <v>16</v>
      </c>
      <c r="B26" s="2">
        <v>1</v>
      </c>
      <c r="C26" s="2">
        <v>1</v>
      </c>
      <c r="D26" s="2">
        <v>1</v>
      </c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25">
      <c r="A27" s="4" t="s">
        <v>17</v>
      </c>
      <c r="B27" s="2">
        <v>1</v>
      </c>
      <c r="C27" s="2">
        <v>1</v>
      </c>
      <c r="D27" s="2">
        <v>1</v>
      </c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25">
      <c r="A28" s="4" t="s">
        <v>18</v>
      </c>
      <c r="B28" s="2">
        <v>1</v>
      </c>
      <c r="C28" s="2">
        <v>1</v>
      </c>
      <c r="D28" s="2">
        <v>1</v>
      </c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25">
      <c r="A29" s="4" t="s">
        <v>19</v>
      </c>
      <c r="B29" s="2">
        <v>1</v>
      </c>
      <c r="C29" s="2">
        <v>1</v>
      </c>
      <c r="D29" s="2">
        <v>1</v>
      </c>
      <c r="E29" s="2"/>
      <c r="F29" s="2"/>
      <c r="G29" s="2"/>
      <c r="H29" s="2"/>
      <c r="I29" s="2"/>
      <c r="J29" s="2"/>
      <c r="K29" s="2"/>
      <c r="L29" s="2"/>
      <c r="M29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6BCCA-2A9E-4AC9-915E-CBE81E14BF69}">
  <dimension ref="A1:N29"/>
  <sheetViews>
    <sheetView workbookViewId="0">
      <selection activeCell="B2" sqref="B2:D9"/>
    </sheetView>
  </sheetViews>
  <sheetFormatPr defaultRowHeight="15" x14ac:dyDescent="0.25"/>
  <sheetData>
    <row r="1" spans="1:14" x14ac:dyDescent="0.25">
      <c r="A1" s="3"/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</row>
    <row r="2" spans="1:14" x14ac:dyDescent="0.25">
      <c r="A2" s="4" t="s">
        <v>12</v>
      </c>
      <c r="B2" s="2">
        <v>0.05</v>
      </c>
      <c r="C2" s="2">
        <v>5.1999999999999998E-2</v>
      </c>
      <c r="D2" s="2">
        <v>5.6000000000000001E-2</v>
      </c>
      <c r="E2" s="2">
        <v>0.56899999999999995</v>
      </c>
      <c r="F2" s="2">
        <v>0.48199999999999998</v>
      </c>
      <c r="G2" s="2">
        <v>0.39600000000000002</v>
      </c>
      <c r="H2" s="2">
        <v>4.3999999999999997E-2</v>
      </c>
      <c r="I2" s="2">
        <v>4.4999999999999998E-2</v>
      </c>
      <c r="J2" s="2">
        <v>4.4999999999999998E-2</v>
      </c>
      <c r="K2" s="2">
        <v>4.3999999999999997E-2</v>
      </c>
      <c r="L2" s="2">
        <v>4.3999999999999997E-2</v>
      </c>
      <c r="M2" s="2">
        <v>4.4999999999999998E-2</v>
      </c>
      <c r="N2" s="5">
        <v>670</v>
      </c>
    </row>
    <row r="3" spans="1:14" x14ac:dyDescent="0.25">
      <c r="A3" s="4" t="s">
        <v>13</v>
      </c>
      <c r="B3" s="2">
        <v>0.20499999999999999</v>
      </c>
      <c r="C3" s="2">
        <v>0.185</v>
      </c>
      <c r="D3" s="2">
        <v>0.19800000000000001</v>
      </c>
      <c r="E3" s="2">
        <v>0.64800000000000002</v>
      </c>
      <c r="F3" s="2">
        <v>0.61699999999999999</v>
      </c>
      <c r="G3" s="2">
        <v>0.66400000000000003</v>
      </c>
      <c r="H3" s="2">
        <v>4.4999999999999998E-2</v>
      </c>
      <c r="I3" s="2">
        <v>4.4999999999999998E-2</v>
      </c>
      <c r="J3" s="2">
        <v>4.3999999999999997E-2</v>
      </c>
      <c r="K3" s="2">
        <v>4.5999999999999999E-2</v>
      </c>
      <c r="L3" s="2">
        <v>4.3999999999999997E-2</v>
      </c>
      <c r="M3" s="2">
        <v>4.3999999999999997E-2</v>
      </c>
      <c r="N3" s="5">
        <v>670</v>
      </c>
    </row>
    <row r="4" spans="1:14" x14ac:dyDescent="0.25">
      <c r="A4" s="4" t="s">
        <v>14</v>
      </c>
      <c r="B4" s="2">
        <v>0.373</v>
      </c>
      <c r="C4" s="2">
        <v>0.32900000000000001</v>
      </c>
      <c r="D4" s="2">
        <v>0.38600000000000001</v>
      </c>
      <c r="E4" s="2">
        <v>0.28899999999999998</v>
      </c>
      <c r="F4" s="2">
        <v>0.27700000000000002</v>
      </c>
      <c r="G4" s="2">
        <v>0.29499999999999998</v>
      </c>
      <c r="H4" s="2">
        <v>4.3999999999999997E-2</v>
      </c>
      <c r="I4" s="2">
        <v>4.3999999999999997E-2</v>
      </c>
      <c r="J4" s="2">
        <v>4.3999999999999997E-2</v>
      </c>
      <c r="K4" s="2">
        <v>4.4999999999999998E-2</v>
      </c>
      <c r="L4" s="2">
        <v>4.4999999999999998E-2</v>
      </c>
      <c r="M4" s="2">
        <v>4.5999999999999999E-2</v>
      </c>
      <c r="N4" s="5">
        <v>670</v>
      </c>
    </row>
    <row r="5" spans="1:14" x14ac:dyDescent="0.25">
      <c r="A5" s="4" t="s">
        <v>15</v>
      </c>
      <c r="B5" s="2">
        <v>0.66400000000000003</v>
      </c>
      <c r="C5" s="2">
        <v>0.63400000000000001</v>
      </c>
      <c r="D5" s="2">
        <v>0.61499999999999999</v>
      </c>
      <c r="E5" s="2">
        <v>0.59599999999999997</v>
      </c>
      <c r="F5" s="2">
        <v>0.47899999999999998</v>
      </c>
      <c r="G5" s="2">
        <v>0.38200000000000001</v>
      </c>
      <c r="H5" s="2">
        <v>4.3999999999999997E-2</v>
      </c>
      <c r="I5" s="2">
        <v>4.3999999999999997E-2</v>
      </c>
      <c r="J5" s="2">
        <v>4.3999999999999997E-2</v>
      </c>
      <c r="K5" s="2">
        <v>4.3999999999999997E-2</v>
      </c>
      <c r="L5" s="2">
        <v>4.4999999999999998E-2</v>
      </c>
      <c r="M5" s="2">
        <v>4.3999999999999997E-2</v>
      </c>
      <c r="N5" s="5">
        <v>670</v>
      </c>
    </row>
    <row r="6" spans="1:14" x14ac:dyDescent="0.25">
      <c r="A6" s="4" t="s">
        <v>16</v>
      </c>
      <c r="B6" s="2">
        <v>1.024</v>
      </c>
      <c r="C6" s="2">
        <v>0.98699999999999999</v>
      </c>
      <c r="D6" s="2">
        <v>1.004</v>
      </c>
      <c r="E6" s="2">
        <v>0.373</v>
      </c>
      <c r="F6" s="2">
        <v>0.308</v>
      </c>
      <c r="G6" s="2">
        <v>0.32600000000000001</v>
      </c>
      <c r="H6" s="2">
        <v>4.3999999999999997E-2</v>
      </c>
      <c r="I6" s="2">
        <v>4.3999999999999997E-2</v>
      </c>
      <c r="J6" s="2">
        <v>4.3999999999999997E-2</v>
      </c>
      <c r="K6" s="2">
        <v>5.2999999999999999E-2</v>
      </c>
      <c r="L6" s="2">
        <v>4.3999999999999997E-2</v>
      </c>
      <c r="M6" s="2">
        <v>4.3999999999999997E-2</v>
      </c>
      <c r="N6" s="5">
        <v>670</v>
      </c>
    </row>
    <row r="7" spans="1:14" x14ac:dyDescent="0.25">
      <c r="A7" s="4" t="s">
        <v>17</v>
      </c>
      <c r="B7" s="2">
        <v>1.83</v>
      </c>
      <c r="C7" s="2">
        <v>1.5489999999999999</v>
      </c>
      <c r="D7" s="2">
        <v>1.831</v>
      </c>
      <c r="E7" s="2">
        <v>0.39500000000000002</v>
      </c>
      <c r="F7" s="2">
        <v>0.32</v>
      </c>
      <c r="G7" s="2">
        <v>0.373</v>
      </c>
      <c r="H7" s="2">
        <v>4.3999999999999997E-2</v>
      </c>
      <c r="I7" s="2">
        <v>4.5999999999999999E-2</v>
      </c>
      <c r="J7" s="2">
        <v>4.3999999999999997E-2</v>
      </c>
      <c r="K7" s="2">
        <v>4.4999999999999998E-2</v>
      </c>
      <c r="L7" s="2">
        <v>4.4999999999999998E-2</v>
      </c>
      <c r="M7" s="2">
        <v>4.3999999999999997E-2</v>
      </c>
      <c r="N7" s="5">
        <v>670</v>
      </c>
    </row>
    <row r="8" spans="1:14" x14ac:dyDescent="0.25">
      <c r="A8" s="4" t="s">
        <v>18</v>
      </c>
      <c r="B8" s="2">
        <v>1.5820000000000001</v>
      </c>
      <c r="C8" s="2">
        <v>1.6479999999999999</v>
      </c>
      <c r="D8" s="2">
        <v>1.671</v>
      </c>
      <c r="E8" s="2">
        <v>3.5000000000000003E-2</v>
      </c>
      <c r="F8" s="2">
        <v>3.5000000000000003E-2</v>
      </c>
      <c r="G8" s="2">
        <v>3.5000000000000003E-2</v>
      </c>
      <c r="H8" s="2">
        <v>4.3999999999999997E-2</v>
      </c>
      <c r="I8" s="2">
        <v>4.4999999999999998E-2</v>
      </c>
      <c r="J8" s="2">
        <v>4.4999999999999998E-2</v>
      </c>
      <c r="K8" s="2">
        <v>0.05</v>
      </c>
      <c r="L8" s="2">
        <v>4.3999999999999997E-2</v>
      </c>
      <c r="M8" s="2">
        <v>4.3999999999999997E-2</v>
      </c>
      <c r="N8" s="5">
        <v>670</v>
      </c>
    </row>
    <row r="9" spans="1:14" x14ac:dyDescent="0.25">
      <c r="A9" s="4" t="s">
        <v>19</v>
      </c>
      <c r="B9" s="2">
        <v>1.764</v>
      </c>
      <c r="C9" s="2">
        <v>1.7190000000000001</v>
      </c>
      <c r="D9" s="2">
        <v>1.677</v>
      </c>
      <c r="E9" s="2">
        <v>3.5000000000000003E-2</v>
      </c>
      <c r="F9" s="2">
        <v>3.5000000000000003E-2</v>
      </c>
      <c r="G9" s="2">
        <v>3.5000000000000003E-2</v>
      </c>
      <c r="H9" s="2">
        <v>4.4999999999999998E-2</v>
      </c>
      <c r="I9" s="2">
        <v>4.4999999999999998E-2</v>
      </c>
      <c r="J9" s="2">
        <v>4.5999999999999999E-2</v>
      </c>
      <c r="K9" s="2">
        <v>4.3999999999999997E-2</v>
      </c>
      <c r="L9" s="2">
        <v>4.4999999999999998E-2</v>
      </c>
      <c r="M9" s="2">
        <v>5.2999999999999999E-2</v>
      </c>
      <c r="N9" s="5">
        <v>670</v>
      </c>
    </row>
    <row r="11" spans="1:14" x14ac:dyDescent="0.25">
      <c r="A11" s="3" t="s">
        <v>20</v>
      </c>
      <c r="B11" s="4">
        <v>1</v>
      </c>
      <c r="C11" s="4">
        <v>2</v>
      </c>
      <c r="D11" s="4">
        <v>3</v>
      </c>
      <c r="E11" s="4">
        <v>4</v>
      </c>
      <c r="F11" s="4">
        <v>5</v>
      </c>
      <c r="G11" s="4">
        <v>6</v>
      </c>
      <c r="H11" s="4">
        <v>7</v>
      </c>
      <c r="I11" s="4">
        <v>8</v>
      </c>
      <c r="J11" s="4">
        <v>9</v>
      </c>
      <c r="K11" s="4">
        <v>10</v>
      </c>
      <c r="L11" s="4">
        <v>11</v>
      </c>
      <c r="M11" s="4">
        <v>12</v>
      </c>
    </row>
    <row r="12" spans="1:14" x14ac:dyDescent="0.25">
      <c r="A12" s="4" t="s">
        <v>12</v>
      </c>
      <c r="B12" s="6" t="s">
        <v>21</v>
      </c>
      <c r="C12" s="6" t="s">
        <v>21</v>
      </c>
      <c r="D12" s="6" t="s">
        <v>21</v>
      </c>
      <c r="E12" s="6"/>
      <c r="F12" s="6"/>
      <c r="G12" s="6"/>
      <c r="H12" s="6"/>
      <c r="I12" s="6"/>
      <c r="J12" s="6"/>
      <c r="K12" s="6"/>
      <c r="L12" s="6"/>
      <c r="M12" s="6"/>
    </row>
    <row r="13" spans="1:14" x14ac:dyDescent="0.25">
      <c r="A13" s="4" t="s">
        <v>13</v>
      </c>
      <c r="B13" s="6" t="s">
        <v>22</v>
      </c>
      <c r="C13" s="6" t="s">
        <v>22</v>
      </c>
      <c r="D13" s="6" t="s">
        <v>22</v>
      </c>
      <c r="E13" s="6"/>
      <c r="F13" s="6"/>
      <c r="G13" s="6"/>
      <c r="H13" s="6"/>
      <c r="I13" s="6"/>
      <c r="J13" s="6"/>
      <c r="K13" s="6"/>
      <c r="L13" s="6"/>
      <c r="M13" s="6"/>
    </row>
    <row r="14" spans="1:14" x14ac:dyDescent="0.25">
      <c r="A14" s="4" t="s">
        <v>14</v>
      </c>
      <c r="B14" s="6" t="s">
        <v>23</v>
      </c>
      <c r="C14" s="6" t="s">
        <v>23</v>
      </c>
      <c r="D14" s="6" t="s">
        <v>23</v>
      </c>
      <c r="E14" s="6"/>
      <c r="F14" s="6"/>
      <c r="G14" s="6"/>
      <c r="H14" s="6"/>
      <c r="I14" s="6"/>
      <c r="J14" s="6"/>
      <c r="K14" s="6"/>
      <c r="L14" s="6"/>
      <c r="M14" s="6"/>
    </row>
    <row r="15" spans="1:14" x14ac:dyDescent="0.25">
      <c r="A15" s="4" t="s">
        <v>15</v>
      </c>
      <c r="B15" s="6" t="s">
        <v>24</v>
      </c>
      <c r="C15" s="6" t="s">
        <v>24</v>
      </c>
      <c r="D15" s="6" t="s">
        <v>24</v>
      </c>
      <c r="E15" s="6"/>
      <c r="F15" s="6"/>
      <c r="G15" s="6"/>
      <c r="H15" s="6"/>
      <c r="I15" s="6"/>
      <c r="J15" s="6"/>
      <c r="K15" s="6"/>
      <c r="L15" s="6"/>
      <c r="M15" s="6"/>
    </row>
    <row r="16" spans="1:14" x14ac:dyDescent="0.25">
      <c r="A16" s="4" t="s">
        <v>16</v>
      </c>
      <c r="B16" s="6" t="s">
        <v>25</v>
      </c>
      <c r="C16" s="6" t="s">
        <v>25</v>
      </c>
      <c r="D16" s="6" t="s">
        <v>25</v>
      </c>
      <c r="E16" s="6"/>
      <c r="F16" s="6"/>
      <c r="G16" s="6"/>
      <c r="H16" s="6"/>
      <c r="I16" s="6"/>
      <c r="J16" s="6"/>
      <c r="K16" s="6"/>
      <c r="L16" s="6"/>
      <c r="M16" s="6"/>
    </row>
    <row r="17" spans="1:13" x14ac:dyDescent="0.25">
      <c r="A17" s="4" t="s">
        <v>17</v>
      </c>
      <c r="B17" s="6" t="s">
        <v>26</v>
      </c>
      <c r="C17" s="6" t="s">
        <v>26</v>
      </c>
      <c r="D17" s="6" t="s">
        <v>26</v>
      </c>
      <c r="E17" s="6"/>
      <c r="F17" s="6"/>
      <c r="G17" s="6"/>
      <c r="H17" s="6"/>
      <c r="I17" s="6"/>
      <c r="J17" s="6"/>
      <c r="K17" s="6"/>
      <c r="L17" s="6"/>
      <c r="M17" s="6"/>
    </row>
    <row r="18" spans="1:13" x14ac:dyDescent="0.25">
      <c r="A18" s="4" t="s">
        <v>18</v>
      </c>
      <c r="B18" s="6" t="s">
        <v>27</v>
      </c>
      <c r="C18" s="6" t="s">
        <v>27</v>
      </c>
      <c r="D18" s="6" t="s">
        <v>27</v>
      </c>
      <c r="E18" s="6"/>
      <c r="F18" s="6"/>
      <c r="G18" s="6"/>
      <c r="H18" s="6"/>
      <c r="I18" s="6"/>
      <c r="J18" s="6"/>
      <c r="K18" s="6"/>
      <c r="L18" s="6"/>
      <c r="M18" s="6"/>
    </row>
    <row r="19" spans="1:13" x14ac:dyDescent="0.25">
      <c r="A19" s="4" t="s">
        <v>19</v>
      </c>
      <c r="B19" s="6" t="s">
        <v>28</v>
      </c>
      <c r="C19" s="6" t="s">
        <v>28</v>
      </c>
      <c r="D19" s="6" t="s">
        <v>28</v>
      </c>
      <c r="E19" s="6"/>
      <c r="F19" s="6"/>
      <c r="G19" s="6"/>
      <c r="H19" s="6"/>
      <c r="I19" s="6"/>
      <c r="J19" s="6"/>
      <c r="K19" s="6"/>
      <c r="L19" s="6"/>
      <c r="M19" s="6"/>
    </row>
    <row r="21" spans="1:13" ht="30" x14ac:dyDescent="0.25">
      <c r="A21" s="3" t="s">
        <v>29</v>
      </c>
      <c r="B21" s="4">
        <v>1</v>
      </c>
      <c r="C21" s="4">
        <v>2</v>
      </c>
      <c r="D21" s="4">
        <v>3</v>
      </c>
      <c r="E21" s="4">
        <v>4</v>
      </c>
      <c r="F21" s="4">
        <v>5</v>
      </c>
      <c r="G21" s="4">
        <v>6</v>
      </c>
      <c r="H21" s="4">
        <v>7</v>
      </c>
      <c r="I21" s="4">
        <v>8</v>
      </c>
      <c r="J21" s="4">
        <v>9</v>
      </c>
      <c r="K21" s="4">
        <v>10</v>
      </c>
      <c r="L21" s="4">
        <v>11</v>
      </c>
      <c r="M21" s="4">
        <v>12</v>
      </c>
    </row>
    <row r="22" spans="1:13" x14ac:dyDescent="0.25">
      <c r="A22" s="4" t="s">
        <v>12</v>
      </c>
      <c r="B22" s="2">
        <v>1</v>
      </c>
      <c r="C22" s="2">
        <v>1</v>
      </c>
      <c r="D22" s="2">
        <v>1</v>
      </c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25">
      <c r="A23" s="4" t="s">
        <v>13</v>
      </c>
      <c r="B23" s="2">
        <v>1</v>
      </c>
      <c r="C23" s="2">
        <v>1</v>
      </c>
      <c r="D23" s="2">
        <v>1</v>
      </c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5">
      <c r="A24" s="4" t="s">
        <v>14</v>
      </c>
      <c r="B24" s="2">
        <v>1</v>
      </c>
      <c r="C24" s="2">
        <v>1</v>
      </c>
      <c r="D24" s="2">
        <v>1</v>
      </c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5">
      <c r="A25" s="4" t="s">
        <v>15</v>
      </c>
      <c r="B25" s="2">
        <v>1</v>
      </c>
      <c r="C25" s="2">
        <v>1</v>
      </c>
      <c r="D25" s="2">
        <v>1</v>
      </c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25">
      <c r="A26" s="4" t="s">
        <v>16</v>
      </c>
      <c r="B26" s="2">
        <v>1</v>
      </c>
      <c r="C26" s="2">
        <v>1</v>
      </c>
      <c r="D26" s="2">
        <v>1</v>
      </c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25">
      <c r="A27" s="4" t="s">
        <v>17</v>
      </c>
      <c r="B27" s="2">
        <v>1</v>
      </c>
      <c r="C27" s="2">
        <v>1</v>
      </c>
      <c r="D27" s="2">
        <v>1</v>
      </c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25">
      <c r="A28" s="4" t="s">
        <v>18</v>
      </c>
      <c r="B28" s="2">
        <v>1</v>
      </c>
      <c r="C28" s="2">
        <v>1</v>
      </c>
      <c r="D28" s="2">
        <v>1</v>
      </c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25">
      <c r="A29" s="4" t="s">
        <v>19</v>
      </c>
      <c r="B29" s="2">
        <v>1</v>
      </c>
      <c r="C29" s="2">
        <v>1</v>
      </c>
      <c r="D29" s="2">
        <v>1</v>
      </c>
      <c r="E29" s="2"/>
      <c r="F29" s="2"/>
      <c r="G29" s="2"/>
      <c r="H29" s="2"/>
      <c r="I29" s="2"/>
      <c r="J29" s="2"/>
      <c r="K29" s="2"/>
      <c r="L29" s="2"/>
      <c r="M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STDs</vt:lpstr>
      <vt:lpstr>Plate1</vt:lpstr>
      <vt:lpstr>Plate2</vt:lpstr>
      <vt:lpstr>Plate3</vt:lpstr>
      <vt:lpstr>Plate4</vt:lpstr>
      <vt:lpstr>Plate5</vt:lpstr>
      <vt:lpstr>Plate6</vt:lpstr>
      <vt:lpstr>Plate7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Wilson, Stephanie</dc:creator>
  <cp:lastModifiedBy>Read, Zoe</cp:lastModifiedBy>
  <dcterms:created xsi:type="dcterms:W3CDTF">2023-10-01T19:57:17Z</dcterms:created>
  <dcterms:modified xsi:type="dcterms:W3CDTF">2025-12-15T21:31:20Z</dcterms:modified>
</cp:coreProperties>
</file>