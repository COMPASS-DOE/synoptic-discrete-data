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9E1DA9A0-AC83-472C-955E-A56387FE9A0F}" xr6:coauthVersionLast="47" xr6:coauthVersionMax="47" xr10:uidLastSave="{00000000-0000-0000-0000-000000000000}"/>
  <bookViews>
    <workbookView xWindow="-120" yWindow="-120" windowWidth="19440" windowHeight="15000" activeTab="1" xr2:uid="{17DB886A-22F0-40D8-B252-1B899F60D62B}"/>
  </bookViews>
  <sheets>
    <sheet name="STDs" sheetId="1" r:id="rId1"/>
    <sheet name="Plate1" sheetId="3" r:id="rId2"/>
    <sheet name="Plate2" sheetId="4" r:id="rId3"/>
    <sheet name="Plate3" sheetId="5" r:id="rId4"/>
    <sheet name="Plate4" sheetId="6" r:id="rId5"/>
    <sheet name="Plate5" sheetId="7" r:id="rId6"/>
    <sheet name="Plate6" sheetId="8" r:id="rId7"/>
    <sheet name="Plate7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19" i="1"/>
  <c r="B18" i="1"/>
  <c r="B7" i="1"/>
  <c r="B77" i="1"/>
  <c r="B76" i="1"/>
  <c r="B75" i="1"/>
  <c r="B74" i="1"/>
  <c r="B73" i="1"/>
  <c r="B72" i="1"/>
  <c r="B71" i="1"/>
  <c r="B70" i="1"/>
  <c r="B65" i="1"/>
  <c r="B64" i="1"/>
  <c r="B63" i="1"/>
  <c r="B61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40" i="1"/>
  <c r="B39" i="1"/>
  <c r="B38" i="1"/>
  <c r="B37" i="1"/>
  <c r="B36" i="1"/>
  <c r="B32" i="1"/>
  <c r="B31" i="1"/>
  <c r="B30" i="1"/>
  <c r="B29" i="1"/>
  <c r="B28" i="1"/>
  <c r="B27" i="1"/>
  <c r="B26" i="1"/>
  <c r="B25" i="1"/>
  <c r="B21" i="1"/>
  <c r="B20" i="1"/>
  <c r="B17" i="1"/>
  <c r="B16" i="1"/>
  <c r="B15" i="1"/>
  <c r="B14" i="1"/>
  <c r="B10" i="1"/>
  <c r="B9" i="1"/>
  <c r="B8" i="1"/>
  <c r="B6" i="1"/>
  <c r="B5" i="1"/>
  <c r="B4" i="1"/>
  <c r="B3" i="1"/>
</calcChain>
</file>

<file path=xl/sharedStrings.xml><?xml version="1.0" encoding="utf-8"?>
<sst xmlns="http://schemas.openxmlformats.org/spreadsheetml/2006/main" count="848" uniqueCount="176">
  <si>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</si>
  <si>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</si>
  <si>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</si>
  <si>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</si>
  <si>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</si>
  <si>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</si>
  <si>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</si>
  <si>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</si>
  <si>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</si>
  <si>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</si>
  <si>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</si>
  <si>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</si>
  <si>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</si>
  <si>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</si>
  <si>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</si>
  <si>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</si>
  <si>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</si>
  <si>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</si>
  <si>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</si>
  <si>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</si>
  <si>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</si>
  <si>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</si>
  <si>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MSM_UP_LysA_20cm</t>
  </si>
  <si>
    <t>MSM_TR_LysA_20cm</t>
  </si>
  <si>
    <t>MSM_TR_LysC_20cm</t>
  </si>
  <si>
    <t>Std 1</t>
  </si>
  <si>
    <t>MSM_UP_LysA_45cm</t>
  </si>
  <si>
    <t>MSM_TR_LysA_45cm</t>
  </si>
  <si>
    <t>MSM_TR_LysC_45cm</t>
  </si>
  <si>
    <t>Std 2</t>
  </si>
  <si>
    <t>MSM_UP_LysB_10cm</t>
  </si>
  <si>
    <t>MSM_TR_LysB_10cm</t>
  </si>
  <si>
    <t>MSM_WC_LysA_10cm</t>
  </si>
  <si>
    <t>Std 3</t>
  </si>
  <si>
    <t>MSM_UP_LysB_45cm</t>
  </si>
  <si>
    <t>MSM_TR_LysB_20cm</t>
  </si>
  <si>
    <t>MSM_WC_LysA_20cm</t>
  </si>
  <si>
    <t>Std 4</t>
  </si>
  <si>
    <t>MSM_UP_LysC_10cm</t>
  </si>
  <si>
    <t>MSM_TR_LysB_45cm</t>
  </si>
  <si>
    <t>Std 5</t>
  </si>
  <si>
    <t>MSM_UP_LysC_20cm</t>
  </si>
  <si>
    <t>MSM_TR_LysB_45cm_dup</t>
  </si>
  <si>
    <t>MSM_WC_LysB_10cm</t>
  </si>
  <si>
    <t>MC: 10ppt</t>
  </si>
  <si>
    <t>MSM_UP_LysC_45cm</t>
  </si>
  <si>
    <t>MSM_TR_LysC_10cm</t>
  </si>
  <si>
    <t>MSM_WC_LysB_20cm</t>
  </si>
  <si>
    <t>MC: 20ppt</t>
  </si>
  <si>
    <t>MSM_TR_LysA_10cm</t>
  </si>
  <si>
    <t>MSM_TR_LysC_10cm_spk</t>
  </si>
  <si>
    <t>MSM_WC_LysC_10cm</t>
  </si>
  <si>
    <t>Dilutions</t>
  </si>
  <si>
    <t>MSM_WC_LysC_20cm</t>
  </si>
  <si>
    <t>MSM_WC_LysC_45cm</t>
  </si>
  <si>
    <t>MSM_SW_A</t>
  </si>
  <si>
    <t>MSM_SW_B</t>
  </si>
  <si>
    <t>MSM_SW_C</t>
  </si>
  <si>
    <t>GCW_TR_LysA_20m</t>
  </si>
  <si>
    <t>GCW_TR_LysA_45cm</t>
  </si>
  <si>
    <t>GCW_TR_LysB_10cm</t>
  </si>
  <si>
    <t>GCW_TR_LysB_20cm</t>
  </si>
  <si>
    <t>GCW_TR_LysC_45cm</t>
  </si>
  <si>
    <t>GCW_WC_LysA_10cm</t>
  </si>
  <si>
    <t>GCW_WC_LysA_20cm</t>
  </si>
  <si>
    <t>GCW_WC_LysA_45cm</t>
  </si>
  <si>
    <t>GCW_WC_LysB_10cm</t>
  </si>
  <si>
    <t>GCW_WC_LysA_45cm_dup</t>
  </si>
  <si>
    <t>GCW_WC_LysB_10cm_spk</t>
  </si>
  <si>
    <t>GCW_WC_LysB_20cm</t>
  </si>
  <si>
    <t>GCW_WC_LysC_45cm</t>
  </si>
  <si>
    <t>GCW_SW_A</t>
  </si>
  <si>
    <t>GCW_SW_B</t>
  </si>
  <si>
    <t>GCW_SW_C</t>
  </si>
  <si>
    <t>GCW_WC_LysB_45cm</t>
  </si>
  <si>
    <t>GCW_WC_LysC_10cm</t>
  </si>
  <si>
    <t>GCW_WC_LysC_20cm</t>
  </si>
  <si>
    <t>SWH_UPCON_LysA_10cm</t>
  </si>
  <si>
    <t>SWH_UPCON_LysB_10cm</t>
  </si>
  <si>
    <t>SWH_UPCON_LysC_10cm</t>
  </si>
  <si>
    <t>SWH_UPCON_LysA_20cm</t>
  </si>
  <si>
    <t>SWH_UPCON_LysA_45cm</t>
  </si>
  <si>
    <t>SWH_UPCON_LysB_20cm</t>
  </si>
  <si>
    <t>SWH_UPCON_LysB_45cm</t>
  </si>
  <si>
    <t>SWH_UPCON_LysC_20cm</t>
  </si>
  <si>
    <t>SWH_UP_LysA_10cm</t>
  </si>
  <si>
    <t>SWH_UPCON_LysC_45cm</t>
  </si>
  <si>
    <t>SWH_UP_LysA_20cm</t>
  </si>
  <si>
    <t>SWH_UP_LysA_45cm</t>
  </si>
  <si>
    <t>SWH_UP_LysB_10cm</t>
  </si>
  <si>
    <t>SWH_UP_LysB_10cm_dup</t>
  </si>
  <si>
    <t>SWH_UP_LysB_20cm</t>
  </si>
  <si>
    <t>SWH_UP_LysB_20cm_spk</t>
  </si>
  <si>
    <t>SWH_UP_LysB_45cm</t>
  </si>
  <si>
    <t>SWH_UP_LysC_10cm</t>
  </si>
  <si>
    <t>SWH_UP_LysC_20cm</t>
  </si>
  <si>
    <t>SWH_UP_LysC_45cm</t>
  </si>
  <si>
    <t>SWH_TR_LysA_10cm</t>
  </si>
  <si>
    <t>SWH_TR_LysA_20cm</t>
  </si>
  <si>
    <t>SWH_TR_LysA_45cm</t>
  </si>
  <si>
    <t>SWH_TR_LysB_10cm</t>
  </si>
  <si>
    <t>SWH_TR_LysB_20cm</t>
  </si>
  <si>
    <t>SWH_TR_LysB_45cm</t>
  </si>
  <si>
    <t>SWH_TR_LysC_10cm</t>
  </si>
  <si>
    <t>SWH_TR_LysC_20cm</t>
  </si>
  <si>
    <t>SWH_TR_LysC_45cm</t>
  </si>
  <si>
    <t>SWH_WC_LysA_10cm</t>
  </si>
  <si>
    <t>SWH_WC_LysA_20cm</t>
  </si>
  <si>
    <t>SWH_WC_LysA_45cm</t>
  </si>
  <si>
    <t>SWH_WC_LysB_10cm</t>
  </si>
  <si>
    <t>SWH_WC_LysC_10cm</t>
  </si>
  <si>
    <t>SWH_WC_LysB_20cm</t>
  </si>
  <si>
    <t>SWH_WC_LysB_45cm</t>
  </si>
  <si>
    <t>SWH_WC_LysC_20cm</t>
  </si>
  <si>
    <t>SWH_WC_LysC_20cm_dup</t>
  </si>
  <si>
    <t>SWH_WC_LysC_45cm</t>
  </si>
  <si>
    <t>SWH_WC_LysC_45cm_spk</t>
  </si>
  <si>
    <t>SWH_SW_A</t>
  </si>
  <si>
    <t>SWH_SW_B</t>
  </si>
  <si>
    <t>SWH_SW_C</t>
  </si>
  <si>
    <t>GWI_UP_LysA_20cm</t>
  </si>
  <si>
    <t>GWI_UP_LysA_45cm</t>
  </si>
  <si>
    <t>GWI_UP_LysB_10cm</t>
  </si>
  <si>
    <t>GWI_UP_LysB_20cm</t>
  </si>
  <si>
    <t>GWI_UP_LysC_10cm</t>
  </si>
  <si>
    <t>GWI_UP_LysC_20cm</t>
  </si>
  <si>
    <t>GWI_UP_LysC_45cm</t>
  </si>
  <si>
    <t>GWI_TR_LysA_10cm</t>
  </si>
  <si>
    <t>GWI_TR_LysA_20cm</t>
  </si>
  <si>
    <t>GWI_TR_LysA_45cm</t>
  </si>
  <si>
    <t>GWI_TR_LysB_10cm</t>
  </si>
  <si>
    <t>GWI_TR_LysB_20cm</t>
  </si>
  <si>
    <t>GWI_TR_LysB_45cm</t>
  </si>
  <si>
    <t>GWI_TR_LysC_10cm</t>
  </si>
  <si>
    <t>GWI_TR_LysC_20cm</t>
  </si>
  <si>
    <t>GWI_TR_LysC_45cm</t>
  </si>
  <si>
    <t>GWI_WC_LysA_10cm</t>
  </si>
  <si>
    <t>GWI_WC_LysA_20cm</t>
  </si>
  <si>
    <t>GWI_WC_LysA_20cm_dup</t>
  </si>
  <si>
    <t>GWI_WC_LysA_45cm</t>
  </si>
  <si>
    <t>GWI_WC_LysA_45cm_spk</t>
  </si>
  <si>
    <t>GWI_WC_LysB_10cm</t>
  </si>
  <si>
    <t>GWI_WC_LysB_20cm</t>
  </si>
  <si>
    <t>GWI_WC_LysB_45cm</t>
  </si>
  <si>
    <t>GWI_WC_LysC_10cm</t>
  </si>
  <si>
    <t>GWI_WC_LysC_20cm</t>
  </si>
  <si>
    <t>GWI_SW_A</t>
  </si>
  <si>
    <t>GWI_SW_B</t>
  </si>
  <si>
    <t>GWI_SW_C</t>
  </si>
  <si>
    <t>MSM_WC_LysB_45cm</t>
  </si>
  <si>
    <t>MSM_UP_RHZ_SF1</t>
  </si>
  <si>
    <t>MSM_UP_RHZ_SF2</t>
  </si>
  <si>
    <t>MSM_UP_RHZ_SF3</t>
  </si>
  <si>
    <t>MSM_UP_RHZ_SF4</t>
  </si>
  <si>
    <t>MSM_UP_RHZ_SF6</t>
  </si>
  <si>
    <t>MSM_UP_RHZ_SF7</t>
  </si>
  <si>
    <t>MSM_UP_RHZ_SF8</t>
  </si>
  <si>
    <t>MSM_TR_RHZ_SF1</t>
  </si>
  <si>
    <t>MSM_TR_RHZ_SF2</t>
  </si>
  <si>
    <t>MSM_TR_RHZ_SF3</t>
  </si>
  <si>
    <t>MSM_TR_RHZ_SF4</t>
  </si>
  <si>
    <t>MSM_TR_RHZ_SF5</t>
  </si>
  <si>
    <t>MSM_TR_RHZ_SF6</t>
  </si>
  <si>
    <t>MSM_TR_RHZ_SF7</t>
  </si>
  <si>
    <t>MSM_TR_RHZ_SF8</t>
  </si>
  <si>
    <t>MSM_TR_RHZ_SF6_dup</t>
  </si>
  <si>
    <t>MSM_TR_RHZ_SF7spk</t>
  </si>
  <si>
    <t>MSM_WC_RHZ_Col1</t>
  </si>
  <si>
    <t>MSM_WC_RHZ_Col2</t>
  </si>
  <si>
    <t>MSM_WC_RHZ_Col3</t>
  </si>
  <si>
    <t>MSM_WC_RHZ_Col4</t>
  </si>
  <si>
    <t>MSM_WC_RHZ_Col5</t>
  </si>
  <si>
    <t>MSM_WC_RHZ_SipA</t>
  </si>
  <si>
    <t>MSM_WC_RHZ_SipC</t>
  </si>
  <si>
    <t>SWH_TR_LysC_45cm_dup</t>
  </si>
  <si>
    <t>SWH_WC_LysC_10cm_spk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</si>
</sst>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STDs!$B$3:$B$10</c:f>
              <c:numCache>
                <c:formatCode>General</c:formatCode>
                <c:ptCount val="8"/>
                <c:pt idx="0">
                  <c:v>5.1666666666666666E-2</c:v>
                </c:pt>
                <c:pt idx="1">
                  <c:v>0.17766666666666667</c:v>
                </c:pt>
                <c:pt idx="2">
                  <c:v>0.3175</c:v>
                </c:pt>
                <c:pt idx="3">
                  <c:v>0.64833333333333332</c:v>
                </c:pt>
                <c:pt idx="4">
                  <c:v>1.0575000000000001</c:v>
                </c:pt>
                <c:pt idx="5">
                  <c:v>1.7210000000000001</c:v>
                </c:pt>
                <c:pt idx="6">
                  <c:v>1.7176666666666665</c:v>
                </c:pt>
                <c:pt idx="7">
                  <c:v>1.6386666666666667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A-46F3-8E65-87DF83940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331104"/>
        <c:axId val="516924864"/>
      </c:scatterChart>
      <c:valAx>
        <c:axId val="51333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24864"/>
        <c:crosses val="autoZero"/>
        <c:crossBetween val="midCat"/>
      </c:valAx>
      <c:valAx>
        <c:axId val="5169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3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STDs!$B$14:$B$21</c:f>
              <c:numCache>
                <c:formatCode>General</c:formatCode>
                <c:ptCount val="8"/>
                <c:pt idx="0">
                  <c:v>5.1333333333333342E-2</c:v>
                </c:pt>
                <c:pt idx="1">
                  <c:v>0.22299999999999998</c:v>
                </c:pt>
                <c:pt idx="2">
                  <c:v>0.32666666666666666</c:v>
                </c:pt>
                <c:pt idx="3">
                  <c:v>0.68666666666666665</c:v>
                </c:pt>
                <c:pt idx="4">
                  <c:v>1.1735</c:v>
                </c:pt>
                <c:pt idx="5">
                  <c:v>1.7705</c:v>
                </c:pt>
                <c:pt idx="6">
                  <c:v>1.7576666666666665</c:v>
                </c:pt>
                <c:pt idx="7">
                  <c:v>1.6723333333333334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5-4639-A284-2A610F7E0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975000"/>
        <c:axId val="431976080"/>
      </c:scatterChart>
      <c:valAx>
        <c:axId val="43197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76080"/>
        <c:crosses val="autoZero"/>
        <c:crossBetween val="midCat"/>
      </c:valAx>
      <c:valAx>
        <c:axId val="4319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7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5.1666666666666673E-2</c:v>
                </c:pt>
                <c:pt idx="1">
                  <c:v>0.19266666666666668</c:v>
                </c:pt>
                <c:pt idx="2">
                  <c:v>0.40099999999999997</c:v>
                </c:pt>
                <c:pt idx="3">
                  <c:v>0.69</c:v>
                </c:pt>
                <c:pt idx="4">
                  <c:v>1.1239999999999999</c:v>
                </c:pt>
                <c:pt idx="5">
                  <c:v>1.7075</c:v>
                </c:pt>
                <c:pt idx="6">
                  <c:v>1.7569999999999999</c:v>
                </c:pt>
                <c:pt idx="7">
                  <c:v>1.6576666666666666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2-4B05-A5D3-56914350B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963680"/>
        <c:axId val="508968000"/>
      </c:scatterChart>
      <c:valAx>
        <c:axId val="50896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68000"/>
        <c:crosses val="autoZero"/>
        <c:crossBetween val="midCat"/>
      </c:valAx>
      <c:valAx>
        <c:axId val="5089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6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412510936132984E-2"/>
                  <c:y val="0.244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4.7333333333333338E-2</c:v>
                </c:pt>
                <c:pt idx="1">
                  <c:v>0.20199999999999999</c:v>
                </c:pt>
                <c:pt idx="2">
                  <c:v>0.41849999999999998</c:v>
                </c:pt>
                <c:pt idx="3">
                  <c:v>0.72950000000000004</c:v>
                </c:pt>
                <c:pt idx="4">
                  <c:v>1.1259999999999999</c:v>
                </c:pt>
                <c:pt idx="5">
                  <c:v>1.7986666666666666</c:v>
                </c:pt>
                <c:pt idx="6">
                  <c:v>1.8033333333333335</c:v>
                </c:pt>
                <c:pt idx="7">
                  <c:v>1.7454999999999998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E-43D7-BC45-69F56575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65056"/>
        <c:axId val="509062432"/>
      </c:scatterChart>
      <c:valAx>
        <c:axId val="37336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62432"/>
        <c:crosses val="autoZero"/>
        <c:crossBetween val="midCat"/>
      </c:valAx>
      <c:valAx>
        <c:axId val="5090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6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5.0666666666666665E-2</c:v>
                </c:pt>
                <c:pt idx="1">
                  <c:v>0.17200000000000001</c:v>
                </c:pt>
                <c:pt idx="2">
                  <c:v>0.34600000000000003</c:v>
                </c:pt>
                <c:pt idx="3">
                  <c:v>0.63700000000000001</c:v>
                </c:pt>
                <c:pt idx="4">
                  <c:v>1.0740000000000001</c:v>
                </c:pt>
                <c:pt idx="5">
                  <c:v>1.7073333333333334</c:v>
                </c:pt>
                <c:pt idx="6">
                  <c:v>1.7056666666666667</c:v>
                </c:pt>
                <c:pt idx="7">
                  <c:v>1.6956666666666667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7-4216-B973-FD664147A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332904"/>
        <c:axId val="513330744"/>
      </c:scatterChart>
      <c:valAx>
        <c:axId val="51333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30744"/>
        <c:crosses val="autoZero"/>
        <c:crossBetween val="midCat"/>
      </c:valAx>
      <c:valAx>
        <c:axId val="51333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3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190288713910765E-2"/>
                  <c:y val="0.20791666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5.6000000000000001E-2</c:v>
                </c:pt>
                <c:pt idx="1">
                  <c:v>0.19399999999999998</c:v>
                </c:pt>
                <c:pt idx="2">
                  <c:v>0.37833333333333335</c:v>
                </c:pt>
                <c:pt idx="3">
                  <c:v>0.63900000000000001</c:v>
                </c:pt>
                <c:pt idx="4">
                  <c:v>1.1099999999999999</c:v>
                </c:pt>
                <c:pt idx="5">
                  <c:v>1.63</c:v>
                </c:pt>
                <c:pt idx="6">
                  <c:v>1.6753333333333333</c:v>
                </c:pt>
                <c:pt idx="7">
                  <c:v>1.6700000000000002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D-4154-9CB0-89FF51237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50184"/>
        <c:axId val="513150544"/>
      </c:scatterChart>
      <c:valAx>
        <c:axId val="51315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50544"/>
        <c:crosses val="autoZero"/>
        <c:crossBetween val="midCat"/>
      </c:valAx>
      <c:valAx>
        <c:axId val="5131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5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5.4333333333333338E-2</c:v>
                </c:pt>
                <c:pt idx="1">
                  <c:v>0.17866666666666667</c:v>
                </c:pt>
                <c:pt idx="2">
                  <c:v>0.33533333333333332</c:v>
                </c:pt>
                <c:pt idx="3">
                  <c:v>0.58299999999999996</c:v>
                </c:pt>
                <c:pt idx="4">
                  <c:v>1.038</c:v>
                </c:pt>
                <c:pt idx="5">
                  <c:v>1.6234999999999999</c:v>
                </c:pt>
                <c:pt idx="6">
                  <c:v>1.6909999999999998</c:v>
                </c:pt>
                <c:pt idx="7">
                  <c:v>1.6935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6F-4818-9748-587944A83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69376"/>
        <c:axId val="373366496"/>
      </c:scatterChart>
      <c:valAx>
        <c:axId val="3733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66496"/>
        <c:crosses val="autoZero"/>
        <c:crossBetween val="midCat"/>
      </c:valAx>
      <c:valAx>
        <c:axId val="3733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6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119061</xdr:rowOff>
    </xdr:from>
    <xdr:to>
      <xdr:col>11</xdr:col>
      <xdr:colOff>19050</xdr:colOff>
      <xdr:row>10</xdr:row>
      <xdr:rowOff>85724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4C0283-2CCF-9CF6-2CA9-BD7ACD791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219075</xdr:colOff>
      <xdr:row>11</xdr:row>
      <xdr:rowOff>109537</xdr:rowOff>
    </xdr:from>
    <xdr:to>
      <xdr:col>10</xdr:col>
      <xdr:colOff>381000</xdr:colOff>
      <xdr:row>22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D563651-74FB-7987-E01F-F5AE1016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228599</xdr:colOff>
      <xdr:row>23</xdr:row>
      <xdr:rowOff>133350</xdr:rowOff>
    </xdr:from>
    <xdr:to>
      <xdr:col>10</xdr:col>
      <xdr:colOff>509586</xdr:colOff>
      <xdr:row>32</xdr:row>
      <xdr:rowOff>176212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D4CDA4-A3AA-E983-CBA6-C0D1B9C45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285750</xdr:colOff>
      <xdr:row>33</xdr:row>
      <xdr:rowOff>119062</xdr:rowOff>
    </xdr:from>
    <xdr:to>
      <xdr:col>10</xdr:col>
      <xdr:colOff>352425</xdr:colOff>
      <xdr:row>44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CBAE97-6E76-934E-BFE5-8D5438676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280987</xdr:colOff>
      <xdr:row>44</xdr:row>
      <xdr:rowOff>176212</xdr:rowOff>
    </xdr:from>
    <xdr:to>
      <xdr:col>11</xdr:col>
      <xdr:colOff>9525</xdr:colOff>
      <xdr:row>55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6BF79F8-C3C1-5563-4526-E17065266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442911</xdr:colOff>
      <xdr:row>55</xdr:row>
      <xdr:rowOff>166687</xdr:rowOff>
    </xdr:from>
    <xdr:to>
      <xdr:col>11</xdr:col>
      <xdr:colOff>142874</xdr:colOff>
      <xdr:row>65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76586A-B8AF-372A-151E-B0429BBCC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347662</xdr:colOff>
      <xdr:row>67</xdr:row>
      <xdr:rowOff>19050</xdr:rowOff>
    </xdr:from>
    <xdr:to>
      <xdr:col>11</xdr:col>
      <xdr:colOff>238125</xdr:colOff>
      <xdr:row>77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5E6ADDB-4AC2-58B3-37D1-1FB76DD79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SS_Synoptic_H2S_Oct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s"/>
      <sheetName val="Plate 1"/>
      <sheetName val="Plate2"/>
      <sheetName val="Plate3"/>
      <sheetName val="Plate4"/>
      <sheetName val="Plate5"/>
      <sheetName val="Plate6"/>
      <sheetName val="Plate7"/>
    </sheetNames>
    <sheetDataSet>
      <sheetData sheetId="0">
        <row r="2">
          <cell r="B2" t="str">
            <v>Avg Abs</v>
          </cell>
        </row>
        <row r="3">
          <cell r="A3">
            <v>0</v>
          </cell>
          <cell r="B3">
            <v>5.7000000000000002E-2</v>
          </cell>
        </row>
        <row r="4">
          <cell r="A4">
            <v>5</v>
          </cell>
          <cell r="B4">
            <v>0.14500000000000002</v>
          </cell>
        </row>
        <row r="5">
          <cell r="A5">
            <v>12.5</v>
          </cell>
          <cell r="B5">
            <v>0.35099999999999998</v>
          </cell>
        </row>
        <row r="6">
          <cell r="A6">
            <v>25</v>
          </cell>
          <cell r="B6">
            <v>0.64033333333333331</v>
          </cell>
        </row>
        <row r="7">
          <cell r="A7">
            <v>50</v>
          </cell>
          <cell r="B7">
            <v>0.97250000000000003</v>
          </cell>
        </row>
        <row r="8">
          <cell r="A8">
            <v>100</v>
          </cell>
          <cell r="B8">
            <v>1.746</v>
          </cell>
        </row>
        <row r="9">
          <cell r="A9">
            <v>100</v>
          </cell>
          <cell r="B9">
            <v>1.6120000000000001</v>
          </cell>
        </row>
        <row r="10">
          <cell r="A10">
            <v>100</v>
          </cell>
          <cell r="B10">
            <v>1.7953333333333334</v>
          </cell>
        </row>
        <row r="13">
          <cell r="B13" t="str">
            <v>Avg Abs</v>
          </cell>
        </row>
        <row r="14">
          <cell r="A14">
            <v>0</v>
          </cell>
          <cell r="B14">
            <v>5.0999999999999997E-2</v>
          </cell>
        </row>
        <row r="15">
          <cell r="A15">
            <v>5</v>
          </cell>
          <cell r="B15">
            <v>0.157</v>
          </cell>
        </row>
        <row r="16">
          <cell r="A16">
            <v>12.5</v>
          </cell>
          <cell r="B16">
            <v>0.33133333333333331</v>
          </cell>
        </row>
        <row r="17">
          <cell r="A17">
            <v>25</v>
          </cell>
          <cell r="B17">
            <v>0.72000000000000008</v>
          </cell>
        </row>
        <row r="18">
          <cell r="A18">
            <v>50</v>
          </cell>
          <cell r="B18">
            <v>1.0920000000000001</v>
          </cell>
        </row>
        <row r="19">
          <cell r="A19">
            <v>100</v>
          </cell>
          <cell r="B19">
            <v>1.83</v>
          </cell>
        </row>
        <row r="20">
          <cell r="A20">
            <v>100</v>
          </cell>
          <cell r="B20">
            <v>1.6526666666666667</v>
          </cell>
        </row>
        <row r="21">
          <cell r="A21">
            <v>100</v>
          </cell>
          <cell r="B21">
            <v>1.75</v>
          </cell>
        </row>
        <row r="24">
          <cell r="B24" t="str">
            <v>Avg Abs</v>
          </cell>
        </row>
        <row r="25">
          <cell r="A25">
            <v>0</v>
          </cell>
          <cell r="B25">
            <v>5.0333333333333334E-2</v>
          </cell>
        </row>
        <row r="26">
          <cell r="A26">
            <v>5</v>
          </cell>
          <cell r="B26">
            <v>0.15333333333333332</v>
          </cell>
        </row>
        <row r="27">
          <cell r="A27">
            <v>12.5</v>
          </cell>
          <cell r="B27">
            <v>0.37599999999999995</v>
          </cell>
        </row>
        <row r="28">
          <cell r="A28">
            <v>25</v>
          </cell>
          <cell r="B28">
            <v>0.59149999999999991</v>
          </cell>
        </row>
        <row r="29">
          <cell r="A29">
            <v>50</v>
          </cell>
          <cell r="B29">
            <v>1.0696666666666668</v>
          </cell>
        </row>
        <row r="30">
          <cell r="A30">
            <v>100</v>
          </cell>
          <cell r="B30">
            <v>1.7669999999999999</v>
          </cell>
        </row>
        <row r="31">
          <cell r="A31">
            <v>100</v>
          </cell>
          <cell r="B31">
            <v>1.5573333333333335</v>
          </cell>
        </row>
        <row r="32">
          <cell r="A32">
            <v>100</v>
          </cell>
          <cell r="B32">
            <v>1.615</v>
          </cell>
        </row>
        <row r="35">
          <cell r="B35" t="str">
            <v>Avg Abs</v>
          </cell>
        </row>
        <row r="36">
          <cell r="A36">
            <v>0</v>
          </cell>
          <cell r="B36">
            <v>5.6333333333333326E-2</v>
          </cell>
        </row>
        <row r="37">
          <cell r="A37">
            <v>5</v>
          </cell>
          <cell r="B37">
            <v>0.15833333333333333</v>
          </cell>
        </row>
        <row r="38">
          <cell r="A38">
            <v>12.5</v>
          </cell>
          <cell r="B38">
            <v>0.33599999999999997</v>
          </cell>
        </row>
        <row r="39">
          <cell r="A39">
            <v>25</v>
          </cell>
          <cell r="B39">
            <v>0.66</v>
          </cell>
        </row>
        <row r="40">
          <cell r="A40">
            <v>50</v>
          </cell>
          <cell r="B40">
            <v>1.0950000000000002</v>
          </cell>
        </row>
        <row r="41">
          <cell r="A41">
            <v>100</v>
          </cell>
          <cell r="B41">
            <v>1.7333333333333334</v>
          </cell>
        </row>
        <row r="42">
          <cell r="A42">
            <v>100</v>
          </cell>
          <cell r="B42">
            <v>1.6273333333333333</v>
          </cell>
        </row>
        <row r="43">
          <cell r="A43">
            <v>100</v>
          </cell>
          <cell r="B43">
            <v>1.7150000000000001</v>
          </cell>
        </row>
        <row r="46">
          <cell r="B46" t="str">
            <v>Avg Abs</v>
          </cell>
        </row>
        <row r="47">
          <cell r="A47">
            <v>0</v>
          </cell>
          <cell r="B47">
            <v>5.2333333333333336E-2</v>
          </cell>
        </row>
        <row r="48">
          <cell r="A48">
            <v>5</v>
          </cell>
          <cell r="B48">
            <v>0.16400000000000001</v>
          </cell>
        </row>
        <row r="49">
          <cell r="A49">
            <v>12.5</v>
          </cell>
          <cell r="B49">
            <v>0.39700000000000002</v>
          </cell>
        </row>
        <row r="50">
          <cell r="A50">
            <v>25</v>
          </cell>
          <cell r="B50">
            <v>0.64033333333333331</v>
          </cell>
        </row>
        <row r="51">
          <cell r="A51">
            <v>50</v>
          </cell>
          <cell r="B51">
            <v>1.0986666666666667</v>
          </cell>
        </row>
        <row r="52">
          <cell r="A52">
            <v>100</v>
          </cell>
          <cell r="B52">
            <v>1.6686666666666667</v>
          </cell>
        </row>
        <row r="53">
          <cell r="A53">
            <v>100</v>
          </cell>
          <cell r="B53">
            <v>1.5506666666666664</v>
          </cell>
        </row>
        <row r="54">
          <cell r="A54">
            <v>100</v>
          </cell>
          <cell r="B54">
            <v>1.5596666666666668</v>
          </cell>
        </row>
        <row r="57">
          <cell r="B57" t="str">
            <v>Avg Abs</v>
          </cell>
        </row>
        <row r="58">
          <cell r="A58">
            <v>0</v>
          </cell>
          <cell r="B58">
            <v>5.9333333333333328E-2</v>
          </cell>
        </row>
        <row r="59">
          <cell r="A59">
            <v>5</v>
          </cell>
          <cell r="B59">
            <v>0.15066666666666664</v>
          </cell>
        </row>
        <row r="60">
          <cell r="A60">
            <v>12.5</v>
          </cell>
          <cell r="B60">
            <v>0.311</v>
          </cell>
        </row>
        <row r="61">
          <cell r="A61">
            <v>25</v>
          </cell>
          <cell r="B61">
            <v>0.66900000000000004</v>
          </cell>
        </row>
        <row r="62">
          <cell r="A62">
            <v>50</v>
          </cell>
          <cell r="B62">
            <v>1.0645</v>
          </cell>
        </row>
        <row r="63">
          <cell r="A63">
            <v>100</v>
          </cell>
          <cell r="B63">
            <v>1.6519999999999999</v>
          </cell>
        </row>
        <row r="64">
          <cell r="A64">
            <v>100</v>
          </cell>
          <cell r="B64">
            <v>1.6156666666666668</v>
          </cell>
        </row>
        <row r="65">
          <cell r="A65">
            <v>100</v>
          </cell>
          <cell r="B65">
            <v>1.6513333333333333</v>
          </cell>
        </row>
        <row r="69">
          <cell r="B69" t="str">
            <v>Avg Abs</v>
          </cell>
        </row>
        <row r="70">
          <cell r="A70">
            <v>0</v>
          </cell>
          <cell r="B70">
            <v>5.7333333333333326E-2</v>
          </cell>
        </row>
        <row r="71">
          <cell r="A71">
            <v>5</v>
          </cell>
          <cell r="B71">
            <v>0.14433333333333334</v>
          </cell>
        </row>
        <row r="72">
          <cell r="A72">
            <v>12.5</v>
          </cell>
          <cell r="B72">
            <v>0.35933333333333334</v>
          </cell>
        </row>
        <row r="73">
          <cell r="A73">
            <v>25</v>
          </cell>
          <cell r="B73">
            <v>0.64799999999999991</v>
          </cell>
        </row>
        <row r="74">
          <cell r="A74">
            <v>50</v>
          </cell>
          <cell r="B74">
            <v>0.97599999999999998</v>
          </cell>
        </row>
        <row r="75">
          <cell r="A75">
            <v>100</v>
          </cell>
          <cell r="B75">
            <v>1.45</v>
          </cell>
        </row>
        <row r="76">
          <cell r="A76">
            <v>100</v>
          </cell>
          <cell r="B76">
            <v>1.4994999999999998</v>
          </cell>
        </row>
        <row r="77">
          <cell r="A77">
            <v>100</v>
          </cell>
          <cell r="B77">
            <v>1.5430000000000001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42B9-6861-46A9-958E-3320FAC517A8}">
  <dimension ref="A1:E88"/>
  <sheetViews>
    <sheetView topLeftCell="A55" workbookViewId="0">
      <selection activeCell="A69" sqref="A69:B77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5.1666666666666666E-2</v>
      </c>
      <c r="C3" s="2">
        <v>0.05</v>
      </c>
      <c r="D3" s="2">
        <v>5.0999999999999997E-2</v>
      </c>
      <c r="E3" s="2">
        <v>5.3999999999999999E-2</v>
      </c>
    </row>
    <row r="4" spans="1:5" x14ac:dyDescent="0.25">
      <c r="A4">
        <v>5</v>
      </c>
      <c r="B4">
        <f>AVERAGE(C4:E4)</f>
        <v>0.17766666666666667</v>
      </c>
      <c r="C4" s="2">
        <v>0.16400000000000001</v>
      </c>
      <c r="D4" s="2">
        <v>0.20100000000000001</v>
      </c>
      <c r="E4" s="2">
        <v>0.16800000000000001</v>
      </c>
    </row>
    <row r="5" spans="1:5" x14ac:dyDescent="0.25">
      <c r="A5">
        <v>12.5</v>
      </c>
      <c r="B5">
        <f>AVERAGE(C5:D5)</f>
        <v>0.3175</v>
      </c>
      <c r="C5" s="2">
        <v>0.32700000000000001</v>
      </c>
      <c r="D5" s="2">
        <v>0.308</v>
      </c>
      <c r="E5" s="2">
        <v>0.36899999999999999</v>
      </c>
    </row>
    <row r="6" spans="1:5" x14ac:dyDescent="0.25">
      <c r="A6">
        <v>25</v>
      </c>
      <c r="B6">
        <f>AVERAGE(C6:E6)</f>
        <v>0.64833333333333332</v>
      </c>
      <c r="C6" s="2">
        <v>0.66100000000000003</v>
      </c>
      <c r="D6" s="2">
        <v>0.66600000000000004</v>
      </c>
      <c r="E6" s="2">
        <v>0.61799999999999999</v>
      </c>
    </row>
    <row r="7" spans="1:5" x14ac:dyDescent="0.25">
      <c r="A7">
        <v>50</v>
      </c>
      <c r="B7">
        <f>AVERAGE(D7,E7)</f>
        <v>1.0575000000000001</v>
      </c>
      <c r="C7" s="2">
        <v>1.2929999999999999</v>
      </c>
      <c r="D7" s="2">
        <v>1.1140000000000001</v>
      </c>
      <c r="E7" s="2">
        <v>1.0009999999999999</v>
      </c>
    </row>
    <row r="8" spans="1:5" x14ac:dyDescent="0.25">
      <c r="A8">
        <v>100</v>
      </c>
      <c r="B8">
        <f>AVERAGE(C8:D8)</f>
        <v>1.7210000000000001</v>
      </c>
      <c r="C8" s="2">
        <v>1.857</v>
      </c>
      <c r="D8" s="2">
        <v>1.585</v>
      </c>
      <c r="E8" s="2">
        <v>1.736</v>
      </c>
    </row>
    <row r="9" spans="1:5" x14ac:dyDescent="0.25">
      <c r="A9">
        <v>100</v>
      </c>
      <c r="B9">
        <f>AVERAGE(C9:E9)</f>
        <v>1.7176666666666665</v>
      </c>
      <c r="C9" s="2">
        <v>1.849</v>
      </c>
      <c r="D9" s="2">
        <v>1.6080000000000001</v>
      </c>
      <c r="E9" s="2">
        <v>1.696</v>
      </c>
    </row>
    <row r="10" spans="1:5" x14ac:dyDescent="0.25">
      <c r="A10">
        <v>100</v>
      </c>
      <c r="B10">
        <f>AVERAGE(C10:E10)</f>
        <v>1.6386666666666667</v>
      </c>
      <c r="C10" s="2">
        <v>1.669</v>
      </c>
      <c r="D10" s="2">
        <v>1.534</v>
      </c>
      <c r="E10" s="2">
        <v>1.7130000000000001</v>
      </c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5.1333333333333342E-2</v>
      </c>
      <c r="C14" s="2">
        <v>5.6000000000000001E-2</v>
      </c>
      <c r="D14" s="2">
        <v>4.9000000000000002E-2</v>
      </c>
      <c r="E14" s="2">
        <v>4.9000000000000002E-2</v>
      </c>
    </row>
    <row r="15" spans="1:5" x14ac:dyDescent="0.25">
      <c r="A15">
        <v>5</v>
      </c>
      <c r="B15">
        <f>AVERAGE(C15:E15)</f>
        <v>0.22299999999999998</v>
      </c>
      <c r="C15" s="2">
        <v>0.23499999999999999</v>
      </c>
      <c r="D15" s="2">
        <v>0.22900000000000001</v>
      </c>
      <c r="E15" s="2">
        <v>0.20499999999999999</v>
      </c>
    </row>
    <row r="16" spans="1:5" x14ac:dyDescent="0.25">
      <c r="A16">
        <v>12.5</v>
      </c>
      <c r="B16">
        <f>AVERAGE(C16:E16)</f>
        <v>0.32666666666666666</v>
      </c>
      <c r="C16" s="2">
        <v>0.27800000000000002</v>
      </c>
      <c r="D16" s="2">
        <v>0.36499999999999999</v>
      </c>
      <c r="E16" s="2">
        <v>0.33700000000000002</v>
      </c>
    </row>
    <row r="17" spans="1:5" x14ac:dyDescent="0.25">
      <c r="A17">
        <v>25</v>
      </c>
      <c r="B17">
        <f>AVERAGE(C17:E17)</f>
        <v>0.68666666666666665</v>
      </c>
      <c r="C17" s="2">
        <v>0.70899999999999996</v>
      </c>
      <c r="D17" s="2">
        <v>0.71299999999999997</v>
      </c>
      <c r="E17" s="2">
        <v>0.63800000000000001</v>
      </c>
    </row>
    <row r="18" spans="1:5" x14ac:dyDescent="0.25">
      <c r="A18">
        <v>50</v>
      </c>
      <c r="B18">
        <f>AVERAGE(D18:E18)</f>
        <v>1.1735</v>
      </c>
      <c r="C18" s="2">
        <v>1.2230000000000001</v>
      </c>
      <c r="D18" s="2">
        <v>1.1379999999999999</v>
      </c>
      <c r="E18" s="2">
        <v>1.2090000000000001</v>
      </c>
    </row>
    <row r="19" spans="1:5" x14ac:dyDescent="0.25">
      <c r="A19">
        <v>100</v>
      </c>
      <c r="B19">
        <f>AVERAGE(C19,E19)</f>
        <v>1.7705</v>
      </c>
      <c r="C19" s="2">
        <v>1.734</v>
      </c>
      <c r="D19" s="2">
        <v>1.6870000000000001</v>
      </c>
      <c r="E19" s="2">
        <v>1.8069999999999999</v>
      </c>
    </row>
    <row r="20" spans="1:5" x14ac:dyDescent="0.25">
      <c r="A20">
        <v>100</v>
      </c>
      <c r="B20">
        <f>AVERAGE(C20:E20)</f>
        <v>1.7576666666666665</v>
      </c>
      <c r="C20" s="2">
        <v>1.867</v>
      </c>
      <c r="D20" s="2">
        <v>1.742</v>
      </c>
      <c r="E20" s="2">
        <v>1.6639999999999999</v>
      </c>
    </row>
    <row r="21" spans="1:5" x14ac:dyDescent="0.25">
      <c r="A21">
        <v>100</v>
      </c>
      <c r="B21">
        <f>AVERAGE(C21:E21)</f>
        <v>1.6723333333333334</v>
      </c>
      <c r="C21" s="2">
        <v>1.6439999999999999</v>
      </c>
      <c r="D21" s="2">
        <v>1.7450000000000001</v>
      </c>
      <c r="E21" s="2">
        <v>1.6279999999999999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5.1666666666666673E-2</v>
      </c>
      <c r="C25" s="2">
        <v>5.5E-2</v>
      </c>
      <c r="D25" s="2">
        <v>0.05</v>
      </c>
      <c r="E25" s="2">
        <v>0.05</v>
      </c>
    </row>
    <row r="26" spans="1:5" x14ac:dyDescent="0.25">
      <c r="A26">
        <v>5</v>
      </c>
      <c r="B26">
        <f>AVERAGE(C26:E26)</f>
        <v>0.19266666666666668</v>
      </c>
      <c r="C26" s="2">
        <v>0.186</v>
      </c>
      <c r="D26" s="2">
        <v>0.19500000000000001</v>
      </c>
      <c r="E26" s="2">
        <v>0.19700000000000001</v>
      </c>
    </row>
    <row r="27" spans="1:5" x14ac:dyDescent="0.25">
      <c r="A27">
        <v>12.5</v>
      </c>
      <c r="B27">
        <f>AVERAGE(C27:E27)</f>
        <v>0.40099999999999997</v>
      </c>
      <c r="C27" s="2">
        <v>0.36399999999999999</v>
      </c>
      <c r="D27" s="2">
        <v>0.443</v>
      </c>
      <c r="E27" s="2">
        <v>0.39600000000000002</v>
      </c>
    </row>
    <row r="28" spans="1:5" x14ac:dyDescent="0.25">
      <c r="A28">
        <v>25</v>
      </c>
      <c r="B28">
        <f>AVERAGE(D28,E28)</f>
        <v>0.69</v>
      </c>
      <c r="C28" s="2">
        <v>0.58799999999999997</v>
      </c>
      <c r="D28" s="2">
        <v>0.63700000000000001</v>
      </c>
      <c r="E28" s="2">
        <v>0.74299999999999999</v>
      </c>
    </row>
    <row r="29" spans="1:5" x14ac:dyDescent="0.25">
      <c r="A29">
        <v>50</v>
      </c>
      <c r="B29">
        <f>AVERAGE(C29:E29)</f>
        <v>1.1239999999999999</v>
      </c>
      <c r="C29" s="2">
        <v>1.075</v>
      </c>
      <c r="D29" s="2">
        <v>1.1839999999999999</v>
      </c>
      <c r="E29" s="2">
        <v>1.113</v>
      </c>
    </row>
    <row r="30" spans="1:5" x14ac:dyDescent="0.25">
      <c r="A30">
        <v>100</v>
      </c>
      <c r="B30">
        <f>AVERAGE(C30:D30)</f>
        <v>1.7075</v>
      </c>
      <c r="C30" s="2">
        <v>1.8220000000000001</v>
      </c>
      <c r="D30" s="2">
        <v>1.593</v>
      </c>
      <c r="E30" s="2">
        <v>1.841</v>
      </c>
    </row>
    <row r="31" spans="1:5" x14ac:dyDescent="0.25">
      <c r="A31">
        <v>100</v>
      </c>
      <c r="B31">
        <f>AVERAGE(C31:E31)</f>
        <v>1.7569999999999999</v>
      </c>
      <c r="C31" s="2">
        <v>1.8129999999999999</v>
      </c>
      <c r="D31" s="2">
        <v>1.734</v>
      </c>
      <c r="E31" s="2">
        <v>1.724</v>
      </c>
    </row>
    <row r="32" spans="1:5" x14ac:dyDescent="0.25">
      <c r="A32">
        <v>100</v>
      </c>
      <c r="B32">
        <f>AVERAGE(C32:E32)</f>
        <v>1.6576666666666666</v>
      </c>
      <c r="C32" s="2">
        <v>1.7</v>
      </c>
      <c r="D32" s="2">
        <v>1.7070000000000001</v>
      </c>
      <c r="E32" s="2">
        <v>1.5660000000000001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4.7333333333333338E-2</v>
      </c>
      <c r="C36" s="2">
        <v>4.7E-2</v>
      </c>
      <c r="D36" s="2">
        <v>4.7E-2</v>
      </c>
      <c r="E36" s="2">
        <v>4.8000000000000001E-2</v>
      </c>
    </row>
    <row r="37" spans="1:5" x14ac:dyDescent="0.25">
      <c r="A37">
        <v>5</v>
      </c>
      <c r="B37">
        <f>AVERAGE(C37:E37)</f>
        <v>0.20199999999999999</v>
      </c>
      <c r="C37" s="2">
        <v>0.14899999999999999</v>
      </c>
      <c r="D37" s="2">
        <v>0.17899999999999999</v>
      </c>
      <c r="E37" s="2">
        <v>0.27800000000000002</v>
      </c>
    </row>
    <row r="38" spans="1:5" x14ac:dyDescent="0.25">
      <c r="A38">
        <v>12.5</v>
      </c>
      <c r="B38">
        <f>AVERAGE(C38,E38)</f>
        <v>0.41849999999999998</v>
      </c>
      <c r="C38" s="2">
        <v>0.40500000000000003</v>
      </c>
      <c r="D38" s="2">
        <v>0.40400000000000003</v>
      </c>
      <c r="E38" s="2">
        <v>0.432</v>
      </c>
    </row>
    <row r="39" spans="1:5" x14ac:dyDescent="0.25">
      <c r="A39">
        <v>25</v>
      </c>
      <c r="B39">
        <f>AVERAGE(C39,D39)</f>
        <v>0.72950000000000004</v>
      </c>
      <c r="C39" s="2">
        <v>0.71899999999999997</v>
      </c>
      <c r="D39" s="2">
        <v>0.74</v>
      </c>
      <c r="E39" s="2">
        <v>0.66500000000000004</v>
      </c>
    </row>
    <row r="40" spans="1:5" x14ac:dyDescent="0.25">
      <c r="A40">
        <v>50</v>
      </c>
      <c r="B40">
        <f>AVERAGE(D40:E40)</f>
        <v>1.1259999999999999</v>
      </c>
      <c r="C40" s="2">
        <v>1.2869999999999999</v>
      </c>
      <c r="D40" s="2">
        <v>1.1499999999999999</v>
      </c>
      <c r="E40" s="2">
        <v>1.1020000000000001</v>
      </c>
    </row>
    <row r="41" spans="1:5" x14ac:dyDescent="0.25">
      <c r="A41">
        <v>100</v>
      </c>
      <c r="B41">
        <f>AVERAGE(C41:E41)</f>
        <v>1.7986666666666666</v>
      </c>
      <c r="C41" s="2">
        <v>1.94</v>
      </c>
      <c r="D41" s="2">
        <v>1.7130000000000001</v>
      </c>
      <c r="E41" s="2">
        <v>1.7430000000000001</v>
      </c>
    </row>
    <row r="42" spans="1:5" x14ac:dyDescent="0.25">
      <c r="A42">
        <v>100</v>
      </c>
      <c r="B42">
        <f>AVERAGE(C42:E42)</f>
        <v>1.8033333333333335</v>
      </c>
      <c r="C42" s="2">
        <v>1.8360000000000001</v>
      </c>
      <c r="D42" s="2">
        <v>1.81</v>
      </c>
      <c r="E42" s="2">
        <v>1.764</v>
      </c>
    </row>
    <row r="43" spans="1:5" x14ac:dyDescent="0.25">
      <c r="A43">
        <v>100</v>
      </c>
      <c r="B43">
        <f>AVERAGE(D43:E43)</f>
        <v>1.7454999999999998</v>
      </c>
      <c r="C43" s="2">
        <v>1.8169999999999999</v>
      </c>
      <c r="D43" s="2">
        <v>1.829</v>
      </c>
      <c r="E43" s="2">
        <v>1.6619999999999999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5.0666666666666665E-2</v>
      </c>
      <c r="C47" s="2">
        <v>5.0999999999999997E-2</v>
      </c>
      <c r="D47" s="2">
        <v>5.1999999999999998E-2</v>
      </c>
      <c r="E47" s="2">
        <v>4.9000000000000002E-2</v>
      </c>
    </row>
    <row r="48" spans="1:5" x14ac:dyDescent="0.25">
      <c r="A48">
        <v>5</v>
      </c>
      <c r="B48">
        <f>AVERAGE(C48:E48)</f>
        <v>0.17200000000000001</v>
      </c>
      <c r="C48" s="2">
        <v>0.17</v>
      </c>
      <c r="D48" s="2">
        <v>0.17799999999999999</v>
      </c>
      <c r="E48" s="2">
        <v>0.16800000000000001</v>
      </c>
    </row>
    <row r="49" spans="1:5" x14ac:dyDescent="0.25">
      <c r="A49">
        <v>12.5</v>
      </c>
      <c r="B49">
        <f>AVERAGE(C49:E49)</f>
        <v>0.34600000000000003</v>
      </c>
      <c r="C49" s="2">
        <v>0.374</v>
      </c>
      <c r="D49" s="2">
        <v>0.34799999999999998</v>
      </c>
      <c r="E49" s="2">
        <v>0.316</v>
      </c>
    </row>
    <row r="50" spans="1:5" x14ac:dyDescent="0.25">
      <c r="A50">
        <v>25</v>
      </c>
      <c r="B50">
        <f>AVERAGE(C50:E50)</f>
        <v>0.63700000000000001</v>
      </c>
      <c r="C50" s="2">
        <v>0.76600000000000001</v>
      </c>
      <c r="D50" s="2">
        <v>0.55100000000000005</v>
      </c>
      <c r="E50" s="2">
        <v>0.59399999999999997</v>
      </c>
    </row>
    <row r="51" spans="1:5" x14ac:dyDescent="0.25">
      <c r="A51">
        <v>50</v>
      </c>
      <c r="B51">
        <f>AVERAGE(C51:D51,E51)</f>
        <v>1.0740000000000001</v>
      </c>
      <c r="C51" s="2">
        <v>1.036</v>
      </c>
      <c r="D51" s="2">
        <v>1.0980000000000001</v>
      </c>
      <c r="E51" s="2">
        <v>1.0880000000000001</v>
      </c>
    </row>
    <row r="52" spans="1:5" x14ac:dyDescent="0.25">
      <c r="A52">
        <v>100</v>
      </c>
      <c r="B52">
        <f>AVERAGE(C52:E52)</f>
        <v>1.7073333333333334</v>
      </c>
      <c r="C52" s="2">
        <v>1.8069999999999999</v>
      </c>
      <c r="D52" s="2">
        <v>1.752</v>
      </c>
      <c r="E52" s="2">
        <v>1.5629999999999999</v>
      </c>
    </row>
    <row r="53" spans="1:5" x14ac:dyDescent="0.25">
      <c r="A53">
        <v>100</v>
      </c>
      <c r="B53">
        <f>AVERAGE(C53:E53)</f>
        <v>1.7056666666666667</v>
      </c>
      <c r="C53" s="2">
        <v>1.7649999999999999</v>
      </c>
      <c r="D53" s="2">
        <v>1.6890000000000001</v>
      </c>
      <c r="E53" s="2">
        <v>1.663</v>
      </c>
    </row>
    <row r="54" spans="1:5" x14ac:dyDescent="0.25">
      <c r="A54">
        <v>100</v>
      </c>
      <c r="B54">
        <f>AVERAGE(C54:E54)</f>
        <v>1.6956666666666667</v>
      </c>
      <c r="C54" s="2">
        <v>1.6539999999999999</v>
      </c>
      <c r="D54" s="2">
        <v>1.74</v>
      </c>
      <c r="E54" s="2">
        <v>1.6930000000000001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5.6000000000000001E-2</v>
      </c>
      <c r="C58" s="2">
        <v>5.8000000000000003E-2</v>
      </c>
      <c r="D58" s="2">
        <v>5.3999999999999999E-2</v>
      </c>
      <c r="E58" s="2">
        <v>5.6000000000000001E-2</v>
      </c>
    </row>
    <row r="59" spans="1:5" x14ac:dyDescent="0.25">
      <c r="A59">
        <v>5</v>
      </c>
      <c r="B59">
        <f>AVERAGE(C59:E59)</f>
        <v>0.19399999999999998</v>
      </c>
      <c r="C59" s="2">
        <v>0.17699999999999999</v>
      </c>
      <c r="D59" s="2">
        <v>0.17699999999999999</v>
      </c>
      <c r="E59" s="2">
        <v>0.22800000000000001</v>
      </c>
    </row>
    <row r="60" spans="1:5" x14ac:dyDescent="0.25">
      <c r="A60">
        <v>12.5</v>
      </c>
      <c r="B60">
        <f>AVERAGE(C60:E60)</f>
        <v>0.37833333333333335</v>
      </c>
      <c r="C60" s="2">
        <v>0.44600000000000001</v>
      </c>
      <c r="D60" s="2">
        <v>0.32400000000000001</v>
      </c>
      <c r="E60" s="2">
        <v>0.36499999999999999</v>
      </c>
    </row>
    <row r="61" spans="1:5" x14ac:dyDescent="0.25">
      <c r="A61">
        <v>25</v>
      </c>
      <c r="B61">
        <f>AVERAGE(C61:D61)</f>
        <v>0.63900000000000001</v>
      </c>
      <c r="C61" s="2">
        <v>0.65400000000000003</v>
      </c>
      <c r="D61" s="2">
        <v>0.624</v>
      </c>
      <c r="E61" s="2">
        <v>0.68100000000000005</v>
      </c>
    </row>
    <row r="62" spans="1:5" x14ac:dyDescent="0.25">
      <c r="A62">
        <v>50</v>
      </c>
      <c r="B62">
        <f>AVERAGE(D62,C62)</f>
        <v>1.1099999999999999</v>
      </c>
      <c r="C62" s="2">
        <v>1.089</v>
      </c>
      <c r="D62" s="2">
        <v>1.131</v>
      </c>
      <c r="E62" s="2">
        <v>1.2709999999999999</v>
      </c>
    </row>
    <row r="63" spans="1:5" x14ac:dyDescent="0.25">
      <c r="A63">
        <v>100</v>
      </c>
      <c r="B63">
        <f>AVERAGE(C63,E63)</f>
        <v>1.63</v>
      </c>
      <c r="C63" s="2">
        <v>1.635</v>
      </c>
      <c r="D63" s="2">
        <v>1.631</v>
      </c>
      <c r="E63" s="2">
        <v>1.625</v>
      </c>
    </row>
    <row r="64" spans="1:5" x14ac:dyDescent="0.25">
      <c r="A64">
        <v>100</v>
      </c>
      <c r="B64">
        <f>AVERAGE(C64:E64)</f>
        <v>1.6753333333333333</v>
      </c>
      <c r="C64" s="2">
        <v>1.641</v>
      </c>
      <c r="D64" s="2">
        <v>1.7010000000000001</v>
      </c>
      <c r="E64" s="2">
        <v>1.6839999999999999</v>
      </c>
    </row>
    <row r="65" spans="1:5" x14ac:dyDescent="0.25">
      <c r="A65">
        <v>100</v>
      </c>
      <c r="B65">
        <f>AVERAGE(C65:E65)</f>
        <v>1.6700000000000002</v>
      </c>
      <c r="C65" s="2">
        <v>1.7130000000000001</v>
      </c>
      <c r="D65" s="2">
        <v>1.5940000000000001</v>
      </c>
      <c r="E65" s="2">
        <v>1.7030000000000001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5.4333333333333338E-2</v>
      </c>
      <c r="C70" s="2">
        <v>5.3999999999999999E-2</v>
      </c>
      <c r="D70" s="2">
        <v>5.8000000000000003E-2</v>
      </c>
      <c r="E70" s="2">
        <v>5.0999999999999997E-2</v>
      </c>
    </row>
    <row r="71" spans="1:5" x14ac:dyDescent="0.25">
      <c r="A71">
        <v>5</v>
      </c>
      <c r="B71">
        <f>AVERAGE(C71:E71)</f>
        <v>0.17866666666666667</v>
      </c>
      <c r="C71" s="2">
        <v>0.17299999999999999</v>
      </c>
      <c r="D71" s="2">
        <v>0.17100000000000001</v>
      </c>
      <c r="E71" s="2">
        <v>0.192</v>
      </c>
    </row>
    <row r="72" spans="1:5" x14ac:dyDescent="0.25">
      <c r="A72">
        <v>12.5</v>
      </c>
      <c r="B72">
        <f>AVERAGE(C72:E72)</f>
        <v>0.33533333333333332</v>
      </c>
      <c r="C72" s="2">
        <v>0.34699999999999998</v>
      </c>
      <c r="D72" s="2">
        <v>0.32200000000000001</v>
      </c>
      <c r="E72" s="2">
        <v>0.33700000000000002</v>
      </c>
    </row>
    <row r="73" spans="1:5" x14ac:dyDescent="0.25">
      <c r="A73">
        <v>25</v>
      </c>
      <c r="B73">
        <f>AVERAGE(D73:E73)</f>
        <v>0.58299999999999996</v>
      </c>
      <c r="C73" s="2">
        <v>0.64700000000000002</v>
      </c>
      <c r="D73" s="2">
        <v>0.56899999999999995</v>
      </c>
      <c r="E73" s="2">
        <v>0.59699999999999998</v>
      </c>
    </row>
    <row r="74" spans="1:5" x14ac:dyDescent="0.25">
      <c r="A74">
        <v>50</v>
      </c>
      <c r="B74">
        <f>AVERAGE(D74:E74)</f>
        <v>1.038</v>
      </c>
      <c r="C74" s="2">
        <v>1.0109999999999999</v>
      </c>
      <c r="D74" s="2">
        <v>1.097</v>
      </c>
      <c r="E74" s="2">
        <v>0.97899999999999998</v>
      </c>
    </row>
    <row r="75" spans="1:5" x14ac:dyDescent="0.25">
      <c r="A75">
        <v>100</v>
      </c>
      <c r="B75">
        <f>AVERAGE(C75:D75)</f>
        <v>1.6234999999999999</v>
      </c>
      <c r="C75" s="2">
        <v>1.6990000000000001</v>
      </c>
      <c r="D75" s="2">
        <v>1.548</v>
      </c>
      <c r="E75" s="2">
        <v>1.8160000000000001</v>
      </c>
    </row>
    <row r="76" spans="1:5" x14ac:dyDescent="0.25">
      <c r="A76">
        <v>100</v>
      </c>
      <c r="B76">
        <f>AVERAGE(C76:D76)</f>
        <v>1.6909999999999998</v>
      </c>
      <c r="C76" s="2">
        <v>1.7909999999999999</v>
      </c>
      <c r="D76" s="2">
        <v>1.591</v>
      </c>
      <c r="E76" s="2">
        <v>1.631</v>
      </c>
    </row>
    <row r="77" spans="1:5" x14ac:dyDescent="0.25">
      <c r="A77">
        <v>100</v>
      </c>
      <c r="B77">
        <f>AVERAGE(C77:D77)</f>
        <v>1.6935</v>
      </c>
      <c r="C77" s="2">
        <v>1.6930000000000001</v>
      </c>
      <c r="D77" s="2">
        <v>1.694</v>
      </c>
      <c r="E77" s="2">
        <v>1.661</v>
      </c>
    </row>
    <row r="81" spans="3:5" x14ac:dyDescent="0.25">
      <c r="C81" s="3"/>
      <c r="D81" s="3"/>
      <c r="E81" s="3"/>
    </row>
    <row r="82" spans="3:5" x14ac:dyDescent="0.25">
      <c r="C82" s="3"/>
      <c r="D82" s="3"/>
      <c r="E82" s="3"/>
    </row>
    <row r="83" spans="3:5" x14ac:dyDescent="0.25">
      <c r="C83" s="3"/>
      <c r="D83" s="3"/>
      <c r="E83" s="3"/>
    </row>
    <row r="84" spans="3:5" x14ac:dyDescent="0.25">
      <c r="C84" s="3"/>
      <c r="D84" s="3"/>
      <c r="E84" s="3"/>
    </row>
    <row r="85" spans="3:5" x14ac:dyDescent="0.25">
      <c r="C85" s="3"/>
      <c r="D85" s="3"/>
      <c r="E85" s="3"/>
    </row>
    <row r="86" spans="3:5" x14ac:dyDescent="0.25">
      <c r="C86" s="3"/>
      <c r="D86" s="3"/>
      <c r="E86" s="3"/>
    </row>
    <row r="87" spans="3:5" x14ac:dyDescent="0.25">
      <c r="C87" s="3"/>
      <c r="D87" s="3"/>
      <c r="E87" s="3"/>
    </row>
    <row r="88" spans="3:5" x14ac:dyDescent="0.25">
      <c r="C88" s="3"/>
      <c r="D88" s="3"/>
      <c r="E8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5D50-D9E4-483E-8C9E-6893E76DE2B5}">
  <dimension ref="A1:M29"/>
  <sheetViews>
    <sheetView tabSelected="1" workbookViewId="0">
      <selection activeCell="M12" sqref="M12:M19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0.05</v>
      </c>
      <c r="C2" s="2">
        <v>5.0999999999999997E-2</v>
      </c>
      <c r="D2" s="2">
        <v>5.3999999999999999E-2</v>
      </c>
      <c r="E2" s="2">
        <v>5.8999999999999997E-2</v>
      </c>
      <c r="F2" s="2">
        <v>7.0000000000000007E-2</v>
      </c>
      <c r="G2" s="2">
        <v>5.7000000000000002E-2</v>
      </c>
      <c r="H2" s="2">
        <v>0.107</v>
      </c>
      <c r="I2" s="2">
        <v>0.114</v>
      </c>
      <c r="J2" s="2">
        <v>0.11700000000000001</v>
      </c>
      <c r="K2" s="2">
        <v>0.46300000000000002</v>
      </c>
      <c r="L2" s="2">
        <v>0.43</v>
      </c>
      <c r="M2" s="2">
        <v>0.42299999999999999</v>
      </c>
    </row>
    <row r="3" spans="1:13" x14ac:dyDescent="0.25">
      <c r="A3" s="5" t="s">
        <v>13</v>
      </c>
      <c r="B3" s="2">
        <v>0.16400000000000001</v>
      </c>
      <c r="C3" s="2">
        <v>0.20100000000000001</v>
      </c>
      <c r="D3" s="2">
        <v>0.16800000000000001</v>
      </c>
      <c r="E3" s="2">
        <v>6.5000000000000002E-2</v>
      </c>
      <c r="F3" s="2">
        <v>6.5000000000000002E-2</v>
      </c>
      <c r="G3" s="2">
        <v>6.5000000000000002E-2</v>
      </c>
      <c r="H3" s="2">
        <v>5.3999999999999999E-2</v>
      </c>
      <c r="I3" s="2">
        <v>5.0999999999999997E-2</v>
      </c>
      <c r="J3" s="2">
        <v>5.1999999999999998E-2</v>
      </c>
      <c r="K3" s="2">
        <v>6.3E-2</v>
      </c>
      <c r="L3" s="2">
        <v>0.06</v>
      </c>
      <c r="M3" s="2">
        <v>5.8999999999999997E-2</v>
      </c>
    </row>
    <row r="4" spans="1:13" x14ac:dyDescent="0.25">
      <c r="A4" s="5" t="s">
        <v>14</v>
      </c>
      <c r="B4" s="2">
        <v>0.32700000000000001</v>
      </c>
      <c r="C4" s="2">
        <v>0.308</v>
      </c>
      <c r="D4" s="2">
        <v>0.36899999999999999</v>
      </c>
      <c r="E4" s="2">
        <v>5.5E-2</v>
      </c>
      <c r="F4" s="2">
        <v>5.6000000000000001E-2</v>
      </c>
      <c r="G4" s="2">
        <v>8.8999999999999996E-2</v>
      </c>
      <c r="H4" s="2">
        <v>5.8999999999999997E-2</v>
      </c>
      <c r="I4" s="2">
        <v>0.06</v>
      </c>
      <c r="J4" s="2">
        <v>6.0999999999999999E-2</v>
      </c>
      <c r="K4" s="2">
        <v>0.35899999999999999</v>
      </c>
      <c r="L4" s="2">
        <v>0.29499999999999998</v>
      </c>
      <c r="M4" s="2">
        <v>0.28199999999999997</v>
      </c>
    </row>
    <row r="5" spans="1:13" x14ac:dyDescent="0.25">
      <c r="A5" s="5" t="s">
        <v>15</v>
      </c>
      <c r="B5" s="2">
        <v>0.66100000000000003</v>
      </c>
      <c r="C5" s="2">
        <v>0.66600000000000004</v>
      </c>
      <c r="D5" s="2">
        <v>0.61799999999999999</v>
      </c>
      <c r="E5" s="2">
        <v>0.09</v>
      </c>
      <c r="F5" s="2">
        <v>6.8000000000000005E-2</v>
      </c>
      <c r="G5" s="2">
        <v>7.0999999999999994E-2</v>
      </c>
      <c r="H5" s="2">
        <v>0.13</v>
      </c>
      <c r="I5" s="2">
        <v>0.11700000000000001</v>
      </c>
      <c r="J5" s="2">
        <v>0.13800000000000001</v>
      </c>
      <c r="K5" s="2">
        <v>0.56000000000000005</v>
      </c>
      <c r="L5" s="2">
        <v>0.45800000000000002</v>
      </c>
      <c r="M5" s="2">
        <v>0.61799999999999999</v>
      </c>
    </row>
    <row r="6" spans="1:13" x14ac:dyDescent="0.25">
      <c r="A6" s="5" t="s">
        <v>16</v>
      </c>
      <c r="B6" s="2">
        <v>1.2929999999999999</v>
      </c>
      <c r="C6" s="2">
        <v>1.1140000000000001</v>
      </c>
      <c r="D6" s="2">
        <v>1.0009999999999999</v>
      </c>
      <c r="E6" s="2">
        <v>5.3999999999999999E-2</v>
      </c>
      <c r="F6" s="2">
        <v>5.5E-2</v>
      </c>
      <c r="G6" s="2">
        <v>5.6000000000000001E-2</v>
      </c>
      <c r="H6" s="2">
        <v>0.17299999999999999</v>
      </c>
      <c r="I6" s="2">
        <v>0.186</v>
      </c>
      <c r="J6" s="2">
        <v>0.17699999999999999</v>
      </c>
      <c r="K6" s="2">
        <v>1.016</v>
      </c>
      <c r="L6" s="2">
        <v>0.95799999999999996</v>
      </c>
      <c r="M6" s="2">
        <v>0.95899999999999996</v>
      </c>
    </row>
    <row r="7" spans="1:13" x14ac:dyDescent="0.25">
      <c r="A7" s="5" t="s">
        <v>17</v>
      </c>
      <c r="B7" s="2">
        <v>1.857</v>
      </c>
      <c r="C7" s="2">
        <v>1.585</v>
      </c>
      <c r="D7" s="2">
        <v>1.736</v>
      </c>
      <c r="E7" s="2">
        <v>5.5E-2</v>
      </c>
      <c r="F7" s="2">
        <v>5.6000000000000001E-2</v>
      </c>
      <c r="G7" s="2">
        <v>5.6000000000000001E-2</v>
      </c>
      <c r="H7" s="2">
        <v>0.187</v>
      </c>
      <c r="I7" s="2">
        <v>0.17499999999999999</v>
      </c>
      <c r="J7" s="2">
        <v>0.16300000000000001</v>
      </c>
      <c r="K7" s="2">
        <v>1.1080000000000001</v>
      </c>
      <c r="L7" s="2">
        <v>1.1599999999999999</v>
      </c>
      <c r="M7" s="2">
        <v>1.046</v>
      </c>
    </row>
    <row r="8" spans="1:13" x14ac:dyDescent="0.25">
      <c r="A8" s="5" t="s">
        <v>18</v>
      </c>
      <c r="B8" s="2">
        <v>1.849</v>
      </c>
      <c r="C8" s="2">
        <v>1.6080000000000001</v>
      </c>
      <c r="D8" s="2">
        <v>1.696</v>
      </c>
      <c r="E8" s="2">
        <v>4.4999999999999998E-2</v>
      </c>
      <c r="F8" s="2">
        <v>4.5999999999999999E-2</v>
      </c>
      <c r="G8" s="2">
        <v>4.3999999999999997E-2</v>
      </c>
      <c r="H8" s="2">
        <v>0.20399999999999999</v>
      </c>
      <c r="I8" s="2">
        <v>0.17599999999999999</v>
      </c>
      <c r="J8" s="2">
        <v>0.19800000000000001</v>
      </c>
      <c r="K8" s="2">
        <v>0.121</v>
      </c>
      <c r="L8" s="2">
        <v>0.11799999999999999</v>
      </c>
      <c r="M8" s="2">
        <v>0.11799999999999999</v>
      </c>
    </row>
    <row r="9" spans="1:13" x14ac:dyDescent="0.25">
      <c r="A9" s="5" t="s">
        <v>19</v>
      </c>
      <c r="B9" s="2">
        <v>1.669</v>
      </c>
      <c r="C9" s="2">
        <v>1.534</v>
      </c>
      <c r="D9" s="2">
        <v>1.7130000000000001</v>
      </c>
      <c r="E9" s="2">
        <v>5.7000000000000002E-2</v>
      </c>
      <c r="F9" s="2">
        <v>5.8000000000000003E-2</v>
      </c>
      <c r="G9" s="2">
        <v>5.8000000000000003E-2</v>
      </c>
      <c r="H9" s="2">
        <v>0.439</v>
      </c>
      <c r="I9" s="2">
        <v>0.46600000000000003</v>
      </c>
      <c r="J9" s="2">
        <v>0.56699999999999995</v>
      </c>
      <c r="K9" s="2">
        <v>1.4239999999999999</v>
      </c>
      <c r="L9" s="2">
        <v>1.3120000000000001</v>
      </c>
      <c r="M9" s="2">
        <v>1.278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6" t="s">
        <v>21</v>
      </c>
      <c r="C12" s="6" t="s">
        <v>21</v>
      </c>
      <c r="D12" s="6" t="s">
        <v>21</v>
      </c>
      <c r="E12" s="6" t="s">
        <v>22</v>
      </c>
      <c r="F12" s="6" t="s">
        <v>22</v>
      </c>
      <c r="G12" s="6" t="s">
        <v>22</v>
      </c>
      <c r="H12" s="6" t="s">
        <v>23</v>
      </c>
      <c r="I12" s="6" t="s">
        <v>23</v>
      </c>
      <c r="J12" s="6" t="s">
        <v>23</v>
      </c>
      <c r="K12" s="6" t="s">
        <v>24</v>
      </c>
      <c r="L12" s="6" t="s">
        <v>24</v>
      </c>
      <c r="M12" s="6" t="s">
        <v>24</v>
      </c>
    </row>
    <row r="13" spans="1:13" x14ac:dyDescent="0.25">
      <c r="A13" s="5" t="s">
        <v>13</v>
      </c>
      <c r="B13" s="6" t="s">
        <v>25</v>
      </c>
      <c r="C13" s="6" t="s">
        <v>25</v>
      </c>
      <c r="D13" s="6" t="s">
        <v>25</v>
      </c>
      <c r="E13" s="6" t="s">
        <v>26</v>
      </c>
      <c r="F13" s="6" t="s">
        <v>26</v>
      </c>
      <c r="G13" s="6" t="s">
        <v>26</v>
      </c>
      <c r="H13" s="6" t="s">
        <v>27</v>
      </c>
      <c r="I13" s="6" t="s">
        <v>27</v>
      </c>
      <c r="J13" s="6" t="s">
        <v>27</v>
      </c>
      <c r="K13" s="6" t="s">
        <v>28</v>
      </c>
      <c r="L13" s="6" t="s">
        <v>28</v>
      </c>
      <c r="M13" s="6" t="s">
        <v>28</v>
      </c>
    </row>
    <row r="14" spans="1:13" x14ac:dyDescent="0.25">
      <c r="A14" s="5" t="s">
        <v>14</v>
      </c>
      <c r="B14" s="6" t="s">
        <v>29</v>
      </c>
      <c r="C14" s="6" t="s">
        <v>29</v>
      </c>
      <c r="D14" s="6" t="s">
        <v>29</v>
      </c>
      <c r="E14" s="6" t="s">
        <v>30</v>
      </c>
      <c r="F14" s="6" t="s">
        <v>30</v>
      </c>
      <c r="G14" s="6" t="s">
        <v>30</v>
      </c>
      <c r="H14" s="6" t="s">
        <v>31</v>
      </c>
      <c r="I14" s="6" t="s">
        <v>31</v>
      </c>
      <c r="J14" s="6" t="s">
        <v>31</v>
      </c>
      <c r="K14" s="6" t="s">
        <v>32</v>
      </c>
      <c r="L14" s="6" t="s">
        <v>32</v>
      </c>
      <c r="M14" s="6" t="s">
        <v>32</v>
      </c>
    </row>
    <row r="15" spans="1:13" x14ac:dyDescent="0.25">
      <c r="A15" s="5" t="s">
        <v>15</v>
      </c>
      <c r="B15" s="6" t="s">
        <v>33</v>
      </c>
      <c r="C15" s="6" t="s">
        <v>33</v>
      </c>
      <c r="D15" s="6" t="s">
        <v>33</v>
      </c>
      <c r="E15" s="6" t="s">
        <v>34</v>
      </c>
      <c r="F15" s="6" t="s">
        <v>34</v>
      </c>
      <c r="G15" s="6" t="s">
        <v>34</v>
      </c>
      <c r="H15" s="6" t="s">
        <v>35</v>
      </c>
      <c r="I15" s="6" t="s">
        <v>35</v>
      </c>
      <c r="J15" s="6" t="s">
        <v>35</v>
      </c>
      <c r="K15" s="6" t="s">
        <v>36</v>
      </c>
      <c r="L15" s="6" t="s">
        <v>36</v>
      </c>
      <c r="M15" s="6" t="s">
        <v>36</v>
      </c>
    </row>
    <row r="16" spans="1:13" x14ac:dyDescent="0.25">
      <c r="A16" s="5" t="s">
        <v>16</v>
      </c>
      <c r="B16" s="6" t="s">
        <v>37</v>
      </c>
      <c r="C16" s="6" t="s">
        <v>37</v>
      </c>
      <c r="D16" s="6" t="s">
        <v>37</v>
      </c>
      <c r="E16" s="6" t="s">
        <v>38</v>
      </c>
      <c r="F16" s="6" t="s">
        <v>38</v>
      </c>
      <c r="G16" s="6" t="s">
        <v>38</v>
      </c>
      <c r="H16" s="6" t="s">
        <v>39</v>
      </c>
      <c r="I16" s="6" t="s">
        <v>39</v>
      </c>
      <c r="J16" s="6" t="s">
        <v>39</v>
      </c>
      <c r="K16" s="6" t="s">
        <v>43</v>
      </c>
      <c r="L16" s="6" t="s">
        <v>43</v>
      </c>
      <c r="M16" s="6" t="s">
        <v>43</v>
      </c>
    </row>
    <row r="17" spans="1:13" x14ac:dyDescent="0.25">
      <c r="A17" s="5" t="s">
        <v>17</v>
      </c>
      <c r="B17" s="6" t="s">
        <v>40</v>
      </c>
      <c r="C17" s="6" t="s">
        <v>40</v>
      </c>
      <c r="D17" s="6" t="s">
        <v>40</v>
      </c>
      <c r="E17" s="6" t="s">
        <v>41</v>
      </c>
      <c r="F17" s="6" t="s">
        <v>41</v>
      </c>
      <c r="G17" s="6" t="s">
        <v>41</v>
      </c>
      <c r="H17" s="6" t="s">
        <v>42</v>
      </c>
      <c r="I17" s="6" t="s">
        <v>42</v>
      </c>
      <c r="J17" s="6" t="s">
        <v>42</v>
      </c>
      <c r="K17" s="6" t="s">
        <v>47</v>
      </c>
      <c r="L17" s="6" t="s">
        <v>47</v>
      </c>
      <c r="M17" s="6" t="s">
        <v>47</v>
      </c>
    </row>
    <row r="18" spans="1:13" x14ac:dyDescent="0.25">
      <c r="A18" s="5" t="s">
        <v>18</v>
      </c>
      <c r="B18" s="6" t="s">
        <v>44</v>
      </c>
      <c r="C18" s="6" t="s">
        <v>44</v>
      </c>
      <c r="D18" s="6" t="s">
        <v>44</v>
      </c>
      <c r="E18" s="6" t="s">
        <v>45</v>
      </c>
      <c r="F18" s="6" t="s">
        <v>45</v>
      </c>
      <c r="G18" s="6" t="s">
        <v>45</v>
      </c>
      <c r="H18" s="6" t="s">
        <v>46</v>
      </c>
      <c r="I18" s="6" t="s">
        <v>46</v>
      </c>
      <c r="J18" s="6" t="s">
        <v>46</v>
      </c>
      <c r="K18" s="6" t="s">
        <v>149</v>
      </c>
      <c r="L18" s="6" t="s">
        <v>149</v>
      </c>
      <c r="M18" s="6" t="s">
        <v>149</v>
      </c>
    </row>
    <row r="19" spans="1:13" x14ac:dyDescent="0.25">
      <c r="A19" s="5" t="s">
        <v>19</v>
      </c>
      <c r="B19" s="6" t="s">
        <v>48</v>
      </c>
      <c r="C19" s="6" t="s">
        <v>48</v>
      </c>
      <c r="D19" s="6" t="s">
        <v>48</v>
      </c>
      <c r="E19" s="6" t="s">
        <v>49</v>
      </c>
      <c r="F19" s="6" t="s">
        <v>49</v>
      </c>
      <c r="G19" s="6" t="s">
        <v>49</v>
      </c>
      <c r="H19" s="6" t="s">
        <v>50</v>
      </c>
      <c r="I19" s="6" t="s">
        <v>50</v>
      </c>
      <c r="J19" s="6" t="s">
        <v>50</v>
      </c>
      <c r="K19" s="6" t="s">
        <v>51</v>
      </c>
      <c r="L19" s="6" t="s">
        <v>51</v>
      </c>
      <c r="M19" s="6" t="s">
        <v>51</v>
      </c>
    </row>
    <row r="21" spans="1:13" ht="30" x14ac:dyDescent="0.25">
      <c r="A21" s="4" t="s">
        <v>52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179B-13A0-4307-9630-46ACA483D437}">
  <dimension ref="A1:M29"/>
  <sheetViews>
    <sheetView workbookViewId="0">
      <selection activeCell="K27" sqref="K27:M29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5.6000000000000001E-2</v>
      </c>
      <c r="C2" s="2">
        <v>4.9000000000000002E-2</v>
      </c>
      <c r="D2" s="2">
        <v>4.9000000000000002E-2</v>
      </c>
      <c r="E2" s="2">
        <v>1.5009999999999999</v>
      </c>
      <c r="F2" s="2">
        <v>1.3460000000000001</v>
      </c>
      <c r="G2" s="2">
        <v>1.3140000000000001</v>
      </c>
      <c r="H2" s="2">
        <v>5.8000000000000003E-2</v>
      </c>
      <c r="I2" s="2">
        <v>6.0999999999999999E-2</v>
      </c>
      <c r="J2" s="2">
        <v>6.4000000000000001E-2</v>
      </c>
      <c r="K2" s="2">
        <v>1.6850000000000001</v>
      </c>
      <c r="L2" s="2">
        <v>1.401</v>
      </c>
      <c r="M2" s="2">
        <v>1.857</v>
      </c>
    </row>
    <row r="3" spans="1:13" x14ac:dyDescent="0.25">
      <c r="A3" s="5" t="s">
        <v>13</v>
      </c>
      <c r="B3" s="2">
        <v>0.23499999999999999</v>
      </c>
      <c r="C3" s="2">
        <v>0.22900000000000001</v>
      </c>
      <c r="D3" s="2">
        <v>0.20499999999999999</v>
      </c>
      <c r="E3" s="2">
        <v>0.18099999999999999</v>
      </c>
      <c r="F3" s="2">
        <v>0.17299999999999999</v>
      </c>
      <c r="G3" s="2">
        <v>0.17599999999999999</v>
      </c>
      <c r="H3" s="2">
        <v>5.7000000000000002E-2</v>
      </c>
      <c r="I3" s="2">
        <v>5.3999999999999999E-2</v>
      </c>
      <c r="J3" s="2">
        <v>5.7000000000000002E-2</v>
      </c>
      <c r="K3" s="2">
        <v>1.8740000000000001</v>
      </c>
      <c r="L3" s="2">
        <v>1.627</v>
      </c>
      <c r="M3" s="2">
        <v>1.69</v>
      </c>
    </row>
    <row r="4" spans="1:13" x14ac:dyDescent="0.25">
      <c r="A4" s="5" t="s">
        <v>14</v>
      </c>
      <c r="B4" s="2">
        <v>0.27800000000000002</v>
      </c>
      <c r="C4" s="2">
        <v>0.36499999999999999</v>
      </c>
      <c r="D4" s="2">
        <v>0.33700000000000002</v>
      </c>
      <c r="E4" s="2">
        <v>5.1999999999999998E-2</v>
      </c>
      <c r="F4" s="2">
        <v>5.2999999999999999E-2</v>
      </c>
      <c r="G4" s="2">
        <v>5.3999999999999999E-2</v>
      </c>
      <c r="H4" s="2">
        <v>1.1120000000000001</v>
      </c>
      <c r="I4" s="2">
        <v>0.999</v>
      </c>
      <c r="J4" s="2">
        <v>0.75</v>
      </c>
      <c r="K4" s="2">
        <v>0.7</v>
      </c>
      <c r="L4" s="2">
        <v>0.66500000000000004</v>
      </c>
      <c r="M4" s="2">
        <v>0.55200000000000005</v>
      </c>
    </row>
    <row r="5" spans="1:13" x14ac:dyDescent="0.25">
      <c r="A5" s="5" t="s">
        <v>15</v>
      </c>
      <c r="B5" s="2">
        <v>0.70899999999999996</v>
      </c>
      <c r="C5" s="2">
        <v>0.71299999999999997</v>
      </c>
      <c r="D5" s="2">
        <v>0.63800000000000001</v>
      </c>
      <c r="E5" s="2">
        <v>5.2999999999999999E-2</v>
      </c>
      <c r="F5" s="2">
        <v>5.2999999999999999E-2</v>
      </c>
      <c r="G5" s="2">
        <v>5.3999999999999999E-2</v>
      </c>
      <c r="H5" s="2">
        <v>1.677</v>
      </c>
      <c r="I5" s="2">
        <v>1.492</v>
      </c>
      <c r="J5" s="2">
        <v>1.5169999999999999</v>
      </c>
      <c r="K5" s="2">
        <v>0.71299999999999997</v>
      </c>
      <c r="L5" s="2">
        <v>0.68400000000000005</v>
      </c>
      <c r="M5" s="2">
        <v>0.65800000000000003</v>
      </c>
    </row>
    <row r="6" spans="1:13" x14ac:dyDescent="0.25">
      <c r="A6" s="5" t="s">
        <v>16</v>
      </c>
      <c r="B6" s="2">
        <v>1.2230000000000001</v>
      </c>
      <c r="C6" s="2">
        <v>1.1379999999999999</v>
      </c>
      <c r="D6" s="2">
        <v>1.2090000000000001</v>
      </c>
      <c r="E6" s="2">
        <v>5.2999999999999999E-2</v>
      </c>
      <c r="F6" s="2">
        <v>5.0999999999999997E-2</v>
      </c>
      <c r="G6" s="2">
        <v>5.6000000000000001E-2</v>
      </c>
      <c r="H6" s="2">
        <v>1.829</v>
      </c>
      <c r="I6" s="2">
        <v>1.7949999999999999</v>
      </c>
      <c r="J6" s="2">
        <v>1.7470000000000001</v>
      </c>
      <c r="K6" s="2">
        <v>1.5549999999999999</v>
      </c>
      <c r="L6" s="2">
        <v>1.4039999999999999</v>
      </c>
      <c r="M6" s="2">
        <v>1.278</v>
      </c>
    </row>
    <row r="7" spans="1:13" x14ac:dyDescent="0.25">
      <c r="A7" s="5" t="s">
        <v>17</v>
      </c>
      <c r="B7" s="2">
        <v>1.734</v>
      </c>
      <c r="C7" s="2">
        <v>1.6870000000000001</v>
      </c>
      <c r="D7" s="2">
        <v>1.8069999999999999</v>
      </c>
      <c r="E7" s="2">
        <v>5.6000000000000001E-2</v>
      </c>
      <c r="F7" s="2">
        <v>5.6000000000000001E-2</v>
      </c>
      <c r="G7" s="2">
        <v>5.8000000000000003E-2</v>
      </c>
      <c r="H7" s="2">
        <v>1.8680000000000001</v>
      </c>
      <c r="I7" s="2">
        <v>1.7390000000000001</v>
      </c>
      <c r="J7" s="2">
        <v>1.7929999999999999</v>
      </c>
      <c r="K7" s="2">
        <v>5.0999999999999997E-2</v>
      </c>
      <c r="L7" s="2">
        <v>5.1999999999999998E-2</v>
      </c>
      <c r="M7" s="2">
        <v>5.5E-2</v>
      </c>
    </row>
    <row r="8" spans="1:13" x14ac:dyDescent="0.25">
      <c r="A8" s="5" t="s">
        <v>18</v>
      </c>
      <c r="B8" s="2">
        <v>1.867</v>
      </c>
      <c r="C8" s="2">
        <v>1.742</v>
      </c>
      <c r="D8" s="2">
        <v>1.6639999999999999</v>
      </c>
      <c r="E8" s="2">
        <v>5.5E-2</v>
      </c>
      <c r="F8" s="2">
        <v>5.6000000000000001E-2</v>
      </c>
      <c r="G8" s="2">
        <v>5.5E-2</v>
      </c>
      <c r="H8" s="2">
        <v>1.615</v>
      </c>
      <c r="I8" s="2">
        <v>1.514</v>
      </c>
      <c r="J8" s="2">
        <v>1.4590000000000001</v>
      </c>
      <c r="K8" s="2">
        <v>5.1999999999999998E-2</v>
      </c>
      <c r="L8" s="2">
        <v>5.5E-2</v>
      </c>
      <c r="M8" s="2">
        <v>6.6000000000000003E-2</v>
      </c>
    </row>
    <row r="9" spans="1:13" x14ac:dyDescent="0.25">
      <c r="A9" s="5" t="s">
        <v>19</v>
      </c>
      <c r="B9" s="2">
        <v>1.6439999999999999</v>
      </c>
      <c r="C9" s="2">
        <v>1.7450000000000001</v>
      </c>
      <c r="D9" s="2">
        <v>1.6279999999999999</v>
      </c>
      <c r="E9" s="2">
        <v>5.0999999999999997E-2</v>
      </c>
      <c r="F9" s="2">
        <v>5.2999999999999999E-2</v>
      </c>
      <c r="G9" s="2">
        <v>5.1999999999999998E-2</v>
      </c>
      <c r="H9" s="2">
        <v>1.855</v>
      </c>
      <c r="I9" s="2">
        <v>1.899</v>
      </c>
      <c r="J9" s="2">
        <v>1.819</v>
      </c>
      <c r="K9" s="2">
        <v>5.1999999999999998E-2</v>
      </c>
      <c r="L9" s="2">
        <v>5.5E-2</v>
      </c>
      <c r="M9" s="2">
        <v>5.2999999999999999E-2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6" t="s">
        <v>21</v>
      </c>
      <c r="C12" s="6" t="s">
        <v>21</v>
      </c>
      <c r="D12" s="6" t="s">
        <v>21</v>
      </c>
      <c r="E12" s="6" t="s">
        <v>53</v>
      </c>
      <c r="F12" s="6" t="s">
        <v>53</v>
      </c>
      <c r="G12" s="6" t="s">
        <v>53</v>
      </c>
      <c r="H12" s="6" t="s">
        <v>61</v>
      </c>
      <c r="I12" s="6" t="s">
        <v>61</v>
      </c>
      <c r="J12" s="6" t="s">
        <v>61</v>
      </c>
      <c r="K12" s="6" t="s">
        <v>69</v>
      </c>
      <c r="L12" s="6" t="s">
        <v>69</v>
      </c>
      <c r="M12" s="6" t="s">
        <v>69</v>
      </c>
    </row>
    <row r="13" spans="1:13" x14ac:dyDescent="0.25">
      <c r="A13" s="5" t="s">
        <v>13</v>
      </c>
      <c r="B13" s="6" t="s">
        <v>25</v>
      </c>
      <c r="C13" s="6" t="s">
        <v>25</v>
      </c>
      <c r="D13" s="6" t="s">
        <v>25</v>
      </c>
      <c r="E13" s="6" t="s">
        <v>54</v>
      </c>
      <c r="F13" s="6" t="s">
        <v>54</v>
      </c>
      <c r="G13" s="6" t="s">
        <v>54</v>
      </c>
      <c r="H13" s="6" t="s">
        <v>62</v>
      </c>
      <c r="I13" s="6" t="s">
        <v>62</v>
      </c>
      <c r="J13" s="6" t="s">
        <v>62</v>
      </c>
      <c r="K13" s="6" t="s">
        <v>74</v>
      </c>
      <c r="L13" s="6" t="s">
        <v>74</v>
      </c>
      <c r="M13" s="6" t="s">
        <v>74</v>
      </c>
    </row>
    <row r="14" spans="1:13" x14ac:dyDescent="0.25">
      <c r="A14" s="5" t="s">
        <v>14</v>
      </c>
      <c r="B14" s="6" t="s">
        <v>29</v>
      </c>
      <c r="C14" s="6" t="s">
        <v>29</v>
      </c>
      <c r="D14" s="6" t="s">
        <v>29</v>
      </c>
      <c r="E14" s="6" t="s">
        <v>55</v>
      </c>
      <c r="F14" s="6" t="s">
        <v>55</v>
      </c>
      <c r="G14" s="6" t="s">
        <v>55</v>
      </c>
      <c r="H14" s="6" t="s">
        <v>63</v>
      </c>
      <c r="I14" s="6" t="s">
        <v>63</v>
      </c>
      <c r="J14" s="6" t="s">
        <v>63</v>
      </c>
      <c r="K14" s="6" t="s">
        <v>75</v>
      </c>
      <c r="L14" s="6" t="s">
        <v>75</v>
      </c>
      <c r="M14" s="6" t="s">
        <v>75</v>
      </c>
    </row>
    <row r="15" spans="1:13" x14ac:dyDescent="0.25">
      <c r="A15" s="5" t="s">
        <v>15</v>
      </c>
      <c r="B15" s="6" t="s">
        <v>33</v>
      </c>
      <c r="C15" s="6" t="s">
        <v>33</v>
      </c>
      <c r="D15" s="6" t="s">
        <v>33</v>
      </c>
      <c r="E15" s="6" t="s">
        <v>56</v>
      </c>
      <c r="F15" s="6" t="s">
        <v>56</v>
      </c>
      <c r="G15" s="6" t="s">
        <v>56</v>
      </c>
      <c r="H15" s="6" t="s">
        <v>64</v>
      </c>
      <c r="I15" s="6" t="s">
        <v>64</v>
      </c>
      <c r="J15" s="6" t="s">
        <v>64</v>
      </c>
      <c r="K15" s="6" t="s">
        <v>76</v>
      </c>
      <c r="L15" s="6" t="s">
        <v>76</v>
      </c>
      <c r="M15" s="6" t="s">
        <v>76</v>
      </c>
    </row>
    <row r="16" spans="1:13" x14ac:dyDescent="0.25">
      <c r="A16" s="5" t="s">
        <v>16</v>
      </c>
      <c r="B16" s="6" t="s">
        <v>37</v>
      </c>
      <c r="C16" s="6" t="s">
        <v>37</v>
      </c>
      <c r="D16" s="6" t="s">
        <v>37</v>
      </c>
      <c r="E16" s="6" t="s">
        <v>57</v>
      </c>
      <c r="F16" s="6" t="s">
        <v>57</v>
      </c>
      <c r="G16" s="6" t="s">
        <v>57</v>
      </c>
      <c r="H16" s="6" t="s">
        <v>65</v>
      </c>
      <c r="I16" s="6" t="s">
        <v>65</v>
      </c>
      <c r="J16" s="6" t="s">
        <v>65</v>
      </c>
      <c r="K16" s="6" t="s">
        <v>70</v>
      </c>
      <c r="L16" s="6" t="s">
        <v>70</v>
      </c>
      <c r="M16" s="6" t="s">
        <v>70</v>
      </c>
    </row>
    <row r="17" spans="1:13" x14ac:dyDescent="0.25">
      <c r="A17" s="5" t="s">
        <v>17</v>
      </c>
      <c r="B17" s="6" t="s">
        <v>40</v>
      </c>
      <c r="C17" s="6" t="s">
        <v>40</v>
      </c>
      <c r="D17" s="6" t="s">
        <v>40</v>
      </c>
      <c r="E17" s="6" t="s">
        <v>58</v>
      </c>
      <c r="F17" s="6" t="s">
        <v>58</v>
      </c>
      <c r="G17" s="6" t="s">
        <v>58</v>
      </c>
      <c r="H17" s="6" t="s">
        <v>67</v>
      </c>
      <c r="I17" s="6" t="s">
        <v>67</v>
      </c>
      <c r="J17" s="6" t="s">
        <v>67</v>
      </c>
      <c r="K17" s="6" t="s">
        <v>71</v>
      </c>
      <c r="L17" s="6" t="s">
        <v>71</v>
      </c>
      <c r="M17" s="6" t="s">
        <v>71</v>
      </c>
    </row>
    <row r="18" spans="1:13" x14ac:dyDescent="0.25">
      <c r="A18" s="5" t="s">
        <v>18</v>
      </c>
      <c r="B18" s="6" t="s">
        <v>44</v>
      </c>
      <c r="C18" s="6" t="s">
        <v>44</v>
      </c>
      <c r="D18" s="6" t="s">
        <v>44</v>
      </c>
      <c r="E18" s="6" t="s">
        <v>59</v>
      </c>
      <c r="F18" s="6" t="s">
        <v>59</v>
      </c>
      <c r="G18" s="6" t="s">
        <v>59</v>
      </c>
      <c r="H18" s="6" t="s">
        <v>66</v>
      </c>
      <c r="I18" s="6" t="s">
        <v>66</v>
      </c>
      <c r="J18" s="6" t="s">
        <v>66</v>
      </c>
      <c r="K18" s="6" t="s">
        <v>72</v>
      </c>
      <c r="L18" s="6" t="s">
        <v>72</v>
      </c>
      <c r="M18" s="6" t="s">
        <v>72</v>
      </c>
    </row>
    <row r="19" spans="1:13" x14ac:dyDescent="0.25">
      <c r="A19" s="5" t="s">
        <v>19</v>
      </c>
      <c r="B19" s="6" t="s">
        <v>48</v>
      </c>
      <c r="C19" s="6" t="s">
        <v>48</v>
      </c>
      <c r="D19" s="6" t="s">
        <v>48</v>
      </c>
      <c r="E19" s="6" t="s">
        <v>60</v>
      </c>
      <c r="F19" s="6" t="s">
        <v>60</v>
      </c>
      <c r="G19" s="6" t="s">
        <v>60</v>
      </c>
      <c r="H19" s="6" t="s">
        <v>68</v>
      </c>
      <c r="I19" s="6" t="s">
        <v>68</v>
      </c>
      <c r="J19" s="6" t="s">
        <v>68</v>
      </c>
      <c r="K19" s="6" t="s">
        <v>73</v>
      </c>
      <c r="L19" s="6" t="s">
        <v>73</v>
      </c>
      <c r="M19" s="6" t="s">
        <v>73</v>
      </c>
    </row>
    <row r="21" spans="1:13" ht="30" x14ac:dyDescent="0.25">
      <c r="A21" s="4" t="s">
        <v>52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25</v>
      </c>
      <c r="I24" s="2">
        <v>25</v>
      </c>
      <c r="J24" s="2">
        <v>25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25</v>
      </c>
      <c r="I25" s="2">
        <v>25</v>
      </c>
      <c r="J25" s="2">
        <v>25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2EEB-E99C-494D-B16A-18FF7FB12BB3}">
  <dimension ref="A1:M29"/>
  <sheetViews>
    <sheetView workbookViewId="0">
      <selection activeCell="N1" sqref="N1:N1048576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5.5E-2</v>
      </c>
      <c r="C2" s="2">
        <v>0.05</v>
      </c>
      <c r="D2" s="2">
        <v>0.05</v>
      </c>
      <c r="E2" s="2">
        <v>5.6000000000000001E-2</v>
      </c>
      <c r="F2" s="2">
        <v>5.7000000000000002E-2</v>
      </c>
      <c r="G2" s="2">
        <v>5.7000000000000002E-2</v>
      </c>
      <c r="H2" s="2">
        <v>0.437</v>
      </c>
      <c r="I2" s="2">
        <v>0.42</v>
      </c>
      <c r="J2" s="2">
        <v>0.41399999999999998</v>
      </c>
      <c r="K2" s="2">
        <v>0.16800000000000001</v>
      </c>
      <c r="L2" s="2">
        <v>0.152</v>
      </c>
      <c r="M2" s="2">
        <v>0.16</v>
      </c>
    </row>
    <row r="3" spans="1:13" x14ac:dyDescent="0.25">
      <c r="A3" s="5" t="s">
        <v>13</v>
      </c>
      <c r="B3" s="2">
        <v>0.186</v>
      </c>
      <c r="C3" s="2">
        <v>0.19500000000000001</v>
      </c>
      <c r="D3" s="2">
        <v>0.19700000000000001</v>
      </c>
      <c r="E3" s="2">
        <v>5.8000000000000003E-2</v>
      </c>
      <c r="F3" s="2">
        <v>5.7000000000000002E-2</v>
      </c>
      <c r="G3" s="2">
        <v>6.0999999999999999E-2</v>
      </c>
      <c r="H3" s="2">
        <v>0.20100000000000001</v>
      </c>
      <c r="I3" s="2">
        <v>0.191</v>
      </c>
      <c r="J3" s="2">
        <v>0.20699999999999999</v>
      </c>
      <c r="K3" s="2">
        <v>5.8999999999999997E-2</v>
      </c>
      <c r="L3" s="2">
        <v>5.7000000000000002E-2</v>
      </c>
      <c r="M3" s="2">
        <v>5.8999999999999997E-2</v>
      </c>
    </row>
    <row r="4" spans="1:13" x14ac:dyDescent="0.25">
      <c r="A4" s="5" t="s">
        <v>14</v>
      </c>
      <c r="B4" s="2">
        <v>0.36399999999999999</v>
      </c>
      <c r="C4" s="2">
        <v>0.443</v>
      </c>
      <c r="D4" s="2">
        <v>0.39600000000000002</v>
      </c>
      <c r="E4" s="2">
        <v>0.54700000000000004</v>
      </c>
      <c r="F4" s="2">
        <v>0.60899999999999999</v>
      </c>
      <c r="G4" s="2">
        <v>0.48499999999999999</v>
      </c>
      <c r="H4" s="2">
        <v>0.26300000000000001</v>
      </c>
      <c r="I4" s="2">
        <v>0.309</v>
      </c>
      <c r="J4" s="2">
        <v>0.29699999999999999</v>
      </c>
      <c r="K4" s="2">
        <v>0.25800000000000001</v>
      </c>
      <c r="L4" s="2">
        <v>0.26500000000000001</v>
      </c>
      <c r="M4" s="2">
        <v>0.25600000000000001</v>
      </c>
    </row>
    <row r="5" spans="1:13" x14ac:dyDescent="0.25">
      <c r="A5" s="5" t="s">
        <v>15</v>
      </c>
      <c r="B5" s="2">
        <v>0.58799999999999997</v>
      </c>
      <c r="C5" s="2">
        <v>0.63700000000000001</v>
      </c>
      <c r="D5" s="2">
        <v>0.74299999999999999</v>
      </c>
      <c r="E5" s="2">
        <v>5.3999999999999999E-2</v>
      </c>
      <c r="F5" s="2">
        <v>5.7000000000000002E-2</v>
      </c>
      <c r="G5" s="2">
        <v>5.7000000000000002E-2</v>
      </c>
      <c r="H5" s="2">
        <v>0.24199999999999999</v>
      </c>
      <c r="I5" s="2">
        <v>0.223</v>
      </c>
      <c r="J5" s="2">
        <v>0.24399999999999999</v>
      </c>
      <c r="K5" s="2">
        <v>1.3089999999999999</v>
      </c>
      <c r="L5" s="2">
        <v>1.3979999999999999</v>
      </c>
      <c r="M5" s="2">
        <v>1.35</v>
      </c>
    </row>
    <row r="6" spans="1:13" x14ac:dyDescent="0.25">
      <c r="A6" s="5" t="s">
        <v>16</v>
      </c>
      <c r="B6" s="2">
        <v>1.075</v>
      </c>
      <c r="C6" s="2">
        <v>1.1839999999999999</v>
      </c>
      <c r="D6" s="2">
        <v>1.113</v>
      </c>
      <c r="E6" s="2">
        <v>5.3999999999999999E-2</v>
      </c>
      <c r="F6" s="2">
        <v>5.7000000000000002E-2</v>
      </c>
      <c r="G6" s="2">
        <v>5.3999999999999999E-2</v>
      </c>
      <c r="H6" s="2">
        <v>5.7000000000000002E-2</v>
      </c>
      <c r="I6" s="2">
        <v>5.3999999999999999E-2</v>
      </c>
      <c r="J6" s="2">
        <v>5.5E-2</v>
      </c>
      <c r="K6" s="2">
        <v>0.48</v>
      </c>
      <c r="L6" s="2">
        <v>0.46800000000000003</v>
      </c>
      <c r="M6" s="2">
        <v>0.46700000000000003</v>
      </c>
    </row>
    <row r="7" spans="1:13" x14ac:dyDescent="0.25">
      <c r="A7" s="5" t="s">
        <v>17</v>
      </c>
      <c r="B7" s="2">
        <v>1.8220000000000001</v>
      </c>
      <c r="C7" s="2">
        <v>1.593</v>
      </c>
      <c r="D7" s="2">
        <v>1.841</v>
      </c>
      <c r="E7" s="2">
        <v>0.52500000000000002</v>
      </c>
      <c r="F7" s="2">
        <v>0.46600000000000003</v>
      </c>
      <c r="G7" s="2">
        <v>0.53500000000000003</v>
      </c>
      <c r="H7" s="2">
        <v>0.06</v>
      </c>
      <c r="I7" s="2">
        <v>5.5E-2</v>
      </c>
      <c r="J7" s="2">
        <v>5.2999999999999999E-2</v>
      </c>
      <c r="K7" s="2">
        <v>2.2749999999999999</v>
      </c>
      <c r="L7" s="2">
        <v>2.1629999999999998</v>
      </c>
      <c r="M7" s="2">
        <v>2.2839999999999998</v>
      </c>
    </row>
    <row r="8" spans="1:13" x14ac:dyDescent="0.25">
      <c r="A8" s="5" t="s">
        <v>18</v>
      </c>
      <c r="B8" s="2">
        <v>1.8129999999999999</v>
      </c>
      <c r="C8" s="2">
        <v>1.734</v>
      </c>
      <c r="D8" s="2">
        <v>1.724</v>
      </c>
      <c r="E8" s="2">
        <v>5.2999999999999999E-2</v>
      </c>
      <c r="F8" s="2">
        <v>5.8000000000000003E-2</v>
      </c>
      <c r="G8" s="2">
        <v>5.8999999999999997E-2</v>
      </c>
      <c r="H8" s="2">
        <v>0.378</v>
      </c>
      <c r="I8" s="2">
        <v>0.38200000000000001</v>
      </c>
      <c r="J8" s="2">
        <v>0.35199999999999998</v>
      </c>
      <c r="K8" s="2">
        <v>2.5249999999999999</v>
      </c>
      <c r="L8" s="2">
        <v>2.7480000000000002</v>
      </c>
      <c r="M8" s="2">
        <v>2.4460000000000002</v>
      </c>
    </row>
    <row r="9" spans="1:13" x14ac:dyDescent="0.25">
      <c r="A9" s="5" t="s">
        <v>19</v>
      </c>
      <c r="B9" s="2">
        <v>1.7</v>
      </c>
      <c r="C9" s="2">
        <v>1.7070000000000001</v>
      </c>
      <c r="D9" s="2">
        <v>1.5660000000000001</v>
      </c>
      <c r="E9" s="2">
        <v>7.3999999999999996E-2</v>
      </c>
      <c r="F9" s="2">
        <v>5.3999999999999999E-2</v>
      </c>
      <c r="G9" s="2">
        <v>7.2999999999999995E-2</v>
      </c>
      <c r="H9" s="2">
        <v>0.76200000000000001</v>
      </c>
      <c r="I9" s="2">
        <v>0.755</v>
      </c>
      <c r="J9" s="2">
        <v>0.80800000000000005</v>
      </c>
      <c r="K9" s="2">
        <v>6.3E-2</v>
      </c>
      <c r="L9" s="2">
        <v>6.5000000000000002E-2</v>
      </c>
      <c r="M9" s="2">
        <v>7.6999999999999999E-2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6" t="s">
        <v>21</v>
      </c>
      <c r="C12" s="6" t="s">
        <v>21</v>
      </c>
      <c r="D12" s="6" t="s">
        <v>21</v>
      </c>
      <c r="E12" s="6" t="s">
        <v>77</v>
      </c>
      <c r="F12" s="6" t="s">
        <v>77</v>
      </c>
      <c r="G12" s="6" t="s">
        <v>77</v>
      </c>
      <c r="H12" s="6" t="s">
        <v>86</v>
      </c>
      <c r="I12" s="6" t="s">
        <v>86</v>
      </c>
      <c r="J12" s="6" t="s">
        <v>86</v>
      </c>
      <c r="K12" s="6" t="s">
        <v>93</v>
      </c>
      <c r="L12" s="6" t="s">
        <v>93</v>
      </c>
      <c r="M12" s="6" t="s">
        <v>93</v>
      </c>
    </row>
    <row r="13" spans="1:13" x14ac:dyDescent="0.25">
      <c r="A13" s="5" t="s">
        <v>13</v>
      </c>
      <c r="B13" s="6" t="s">
        <v>25</v>
      </c>
      <c r="C13" s="6" t="s">
        <v>25</v>
      </c>
      <c r="D13" s="6" t="s">
        <v>25</v>
      </c>
      <c r="E13" s="6" t="s">
        <v>80</v>
      </c>
      <c r="F13" s="6" t="s">
        <v>80</v>
      </c>
      <c r="G13" s="6" t="s">
        <v>80</v>
      </c>
      <c r="H13" s="6" t="s">
        <v>85</v>
      </c>
      <c r="I13" s="6" t="s">
        <v>85</v>
      </c>
      <c r="J13" s="6" t="s">
        <v>85</v>
      </c>
      <c r="K13" s="6" t="s">
        <v>94</v>
      </c>
      <c r="L13" s="6" t="s">
        <v>94</v>
      </c>
      <c r="M13" s="6" t="s">
        <v>94</v>
      </c>
    </row>
    <row r="14" spans="1:13" x14ac:dyDescent="0.25">
      <c r="A14" s="5" t="s">
        <v>14</v>
      </c>
      <c r="B14" s="6" t="s">
        <v>29</v>
      </c>
      <c r="C14" s="6" t="s">
        <v>29</v>
      </c>
      <c r="D14" s="6" t="s">
        <v>29</v>
      </c>
      <c r="E14" s="6" t="s">
        <v>81</v>
      </c>
      <c r="F14" s="6" t="s">
        <v>81</v>
      </c>
      <c r="G14" s="6" t="s">
        <v>81</v>
      </c>
      <c r="H14" s="6" t="s">
        <v>87</v>
      </c>
      <c r="I14" s="6" t="s">
        <v>87</v>
      </c>
      <c r="J14" s="6" t="s">
        <v>87</v>
      </c>
      <c r="K14" s="6" t="s">
        <v>95</v>
      </c>
      <c r="L14" s="6" t="s">
        <v>95</v>
      </c>
      <c r="M14" s="6" t="s">
        <v>95</v>
      </c>
    </row>
    <row r="15" spans="1:13" x14ac:dyDescent="0.25">
      <c r="A15" s="5" t="s">
        <v>15</v>
      </c>
      <c r="B15" s="6" t="s">
        <v>33</v>
      </c>
      <c r="C15" s="6" t="s">
        <v>33</v>
      </c>
      <c r="D15" s="6" t="s">
        <v>33</v>
      </c>
      <c r="E15" s="6" t="s">
        <v>78</v>
      </c>
      <c r="F15" s="6" t="s">
        <v>78</v>
      </c>
      <c r="G15" s="6" t="s">
        <v>78</v>
      </c>
      <c r="H15" s="6" t="s">
        <v>88</v>
      </c>
      <c r="I15" s="6" t="s">
        <v>88</v>
      </c>
      <c r="J15" s="6" t="s">
        <v>88</v>
      </c>
      <c r="K15" s="6" t="s">
        <v>96</v>
      </c>
      <c r="L15" s="6" t="s">
        <v>96</v>
      </c>
      <c r="M15" s="6" t="s">
        <v>96</v>
      </c>
    </row>
    <row r="16" spans="1:13" x14ac:dyDescent="0.25">
      <c r="A16" s="5" t="s">
        <v>16</v>
      </c>
      <c r="B16" s="6" t="s">
        <v>37</v>
      </c>
      <c r="C16" s="6" t="s">
        <v>37</v>
      </c>
      <c r="D16" s="6" t="s">
        <v>37</v>
      </c>
      <c r="E16" s="6" t="s">
        <v>82</v>
      </c>
      <c r="F16" s="6" t="s">
        <v>82</v>
      </c>
      <c r="G16" s="6" t="s">
        <v>82</v>
      </c>
      <c r="H16" s="6" t="s">
        <v>89</v>
      </c>
      <c r="I16" s="6" t="s">
        <v>89</v>
      </c>
      <c r="J16" s="6" t="s">
        <v>89</v>
      </c>
      <c r="K16" s="6" t="s">
        <v>97</v>
      </c>
      <c r="L16" s="6" t="s">
        <v>97</v>
      </c>
      <c r="M16" s="6" t="s">
        <v>97</v>
      </c>
    </row>
    <row r="17" spans="1:13" x14ac:dyDescent="0.25">
      <c r="A17" s="5" t="s">
        <v>17</v>
      </c>
      <c r="B17" s="6" t="s">
        <v>40</v>
      </c>
      <c r="C17" s="6" t="s">
        <v>40</v>
      </c>
      <c r="D17" s="6" t="s">
        <v>40</v>
      </c>
      <c r="E17" s="6" t="s">
        <v>83</v>
      </c>
      <c r="F17" s="6" t="s">
        <v>83</v>
      </c>
      <c r="G17" s="6" t="s">
        <v>83</v>
      </c>
      <c r="H17" s="6" t="s">
        <v>90</v>
      </c>
      <c r="I17" s="6" t="s">
        <v>90</v>
      </c>
      <c r="J17" s="6" t="s">
        <v>90</v>
      </c>
      <c r="K17" s="6" t="s">
        <v>98</v>
      </c>
      <c r="L17" s="6" t="s">
        <v>98</v>
      </c>
      <c r="M17" s="6" t="s">
        <v>98</v>
      </c>
    </row>
    <row r="18" spans="1:13" x14ac:dyDescent="0.25">
      <c r="A18" s="5" t="s">
        <v>18</v>
      </c>
      <c r="B18" s="6" t="s">
        <v>44</v>
      </c>
      <c r="C18" s="6" t="s">
        <v>44</v>
      </c>
      <c r="D18" s="6" t="s">
        <v>44</v>
      </c>
      <c r="E18" s="6" t="s">
        <v>79</v>
      </c>
      <c r="F18" s="6" t="s">
        <v>79</v>
      </c>
      <c r="G18" s="6" t="s">
        <v>79</v>
      </c>
      <c r="H18" s="6" t="s">
        <v>91</v>
      </c>
      <c r="I18" s="6" t="s">
        <v>91</v>
      </c>
      <c r="J18" s="6" t="s">
        <v>91</v>
      </c>
      <c r="K18" s="6" t="s">
        <v>99</v>
      </c>
      <c r="L18" s="6" t="s">
        <v>99</v>
      </c>
      <c r="M18" s="6" t="s">
        <v>99</v>
      </c>
    </row>
    <row r="19" spans="1:13" x14ac:dyDescent="0.25">
      <c r="A19" s="5" t="s">
        <v>19</v>
      </c>
      <c r="B19" s="6" t="s">
        <v>48</v>
      </c>
      <c r="C19" s="6" t="s">
        <v>48</v>
      </c>
      <c r="D19" s="6" t="s">
        <v>48</v>
      </c>
      <c r="E19" s="6" t="s">
        <v>84</v>
      </c>
      <c r="F19" s="6" t="s">
        <v>84</v>
      </c>
      <c r="G19" s="6" t="s">
        <v>84</v>
      </c>
      <c r="H19" s="6" t="s">
        <v>92</v>
      </c>
      <c r="I19" s="6" t="s">
        <v>92</v>
      </c>
      <c r="J19" s="6" t="s">
        <v>92</v>
      </c>
      <c r="K19" s="6" t="s">
        <v>100</v>
      </c>
      <c r="L19" s="6" t="s">
        <v>100</v>
      </c>
      <c r="M19" s="6" t="s">
        <v>100</v>
      </c>
    </row>
    <row r="21" spans="1:13" ht="30" x14ac:dyDescent="0.25">
      <c r="A21" s="4" t="s">
        <v>52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9630-9E67-4A79-995F-80830D7DBB71}">
  <dimension ref="A1:M29"/>
  <sheetViews>
    <sheetView workbookViewId="0">
      <selection activeCell="M12" sqref="M12:M19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4.7E-2</v>
      </c>
      <c r="C2" s="2">
        <v>4.7E-2</v>
      </c>
      <c r="D2" s="2">
        <v>4.8000000000000001E-2</v>
      </c>
      <c r="E2" s="2">
        <v>1.6519999999999999</v>
      </c>
      <c r="F2" s="2">
        <v>1.38</v>
      </c>
      <c r="G2" s="2">
        <v>1.492</v>
      </c>
      <c r="H2" s="2">
        <v>0.753</v>
      </c>
      <c r="I2" s="2">
        <v>0.84599999999999997</v>
      </c>
      <c r="J2" s="2">
        <v>0.78300000000000003</v>
      </c>
      <c r="K2" s="2">
        <v>0.05</v>
      </c>
      <c r="L2" s="2">
        <v>5.1999999999999998E-2</v>
      </c>
      <c r="M2" s="2">
        <v>5.2999999999999999E-2</v>
      </c>
    </row>
    <row r="3" spans="1:13" x14ac:dyDescent="0.25">
      <c r="A3" s="5" t="s">
        <v>13</v>
      </c>
      <c r="B3" s="2">
        <v>0.14899999999999999</v>
      </c>
      <c r="C3" s="2">
        <v>0.17899999999999999</v>
      </c>
      <c r="D3" s="2">
        <v>0.27800000000000002</v>
      </c>
      <c r="E3" s="2">
        <v>2.6030000000000002</v>
      </c>
      <c r="F3" s="2">
        <v>2.581</v>
      </c>
      <c r="G3" s="2">
        <v>2.4550000000000001</v>
      </c>
      <c r="H3" s="2">
        <v>0.10199999999999999</v>
      </c>
      <c r="I3" s="2">
        <v>0.105</v>
      </c>
      <c r="J3" s="2">
        <v>9.6000000000000002E-2</v>
      </c>
      <c r="K3" s="2">
        <v>5.1999999999999998E-2</v>
      </c>
      <c r="L3" s="2">
        <v>5.0999999999999997E-2</v>
      </c>
      <c r="M3" s="2">
        <v>0.05</v>
      </c>
    </row>
    <row r="4" spans="1:13" x14ac:dyDescent="0.25">
      <c r="A4" s="5" t="s">
        <v>14</v>
      </c>
      <c r="B4" s="2">
        <v>0.40500000000000003</v>
      </c>
      <c r="C4" s="2">
        <v>0.40400000000000003</v>
      </c>
      <c r="D4" s="2">
        <v>0.432</v>
      </c>
      <c r="E4" s="2">
        <v>6.4000000000000001E-2</v>
      </c>
      <c r="F4" s="2">
        <v>6.0999999999999999E-2</v>
      </c>
      <c r="G4" s="2">
        <v>6.5000000000000002E-2</v>
      </c>
      <c r="H4" s="2">
        <v>7.6999999999999999E-2</v>
      </c>
      <c r="I4" s="2">
        <v>7.6999999999999999E-2</v>
      </c>
      <c r="J4" s="2">
        <v>7.6999999999999999E-2</v>
      </c>
      <c r="K4" s="2">
        <v>5.1999999999999998E-2</v>
      </c>
      <c r="L4" s="2">
        <v>4.9000000000000002E-2</v>
      </c>
      <c r="M4" s="2">
        <v>5.1999999999999998E-2</v>
      </c>
    </row>
    <row r="5" spans="1:13" x14ac:dyDescent="0.25">
      <c r="A5" s="5" t="s">
        <v>15</v>
      </c>
      <c r="B5" s="2">
        <v>0.71899999999999997</v>
      </c>
      <c r="C5" s="2">
        <v>0.74</v>
      </c>
      <c r="D5" s="2">
        <v>0.66500000000000004</v>
      </c>
      <c r="E5" s="2">
        <v>0.156</v>
      </c>
      <c r="F5" s="2">
        <v>0.16300000000000001</v>
      </c>
      <c r="G5" s="2">
        <v>0.13500000000000001</v>
      </c>
      <c r="H5" s="2">
        <v>2.1619999999999999</v>
      </c>
      <c r="I5" s="2">
        <v>2.0659999999999998</v>
      </c>
      <c r="J5" s="2">
        <v>2.177</v>
      </c>
      <c r="K5" s="2">
        <v>5.0999999999999997E-2</v>
      </c>
      <c r="L5" s="2">
        <v>5.0999999999999997E-2</v>
      </c>
      <c r="M5" s="2">
        <v>4.9000000000000002E-2</v>
      </c>
    </row>
    <row r="6" spans="1:13" x14ac:dyDescent="0.25">
      <c r="A6" s="5" t="s">
        <v>16</v>
      </c>
      <c r="B6" s="2">
        <v>1.2869999999999999</v>
      </c>
      <c r="C6" s="2">
        <v>1.1499999999999999</v>
      </c>
      <c r="D6" s="2">
        <v>1.1020000000000001</v>
      </c>
      <c r="E6" s="2">
        <v>2.1749999999999998</v>
      </c>
      <c r="F6" s="2">
        <v>2.3610000000000002</v>
      </c>
      <c r="G6" s="2">
        <v>2.169</v>
      </c>
      <c r="H6" s="2">
        <v>0.14599999999999999</v>
      </c>
      <c r="I6" s="2">
        <v>0.16</v>
      </c>
      <c r="J6" s="2">
        <v>0.154</v>
      </c>
      <c r="K6" s="2">
        <v>5.1999999999999998E-2</v>
      </c>
      <c r="L6" s="2">
        <v>5.2999999999999999E-2</v>
      </c>
      <c r="M6" s="2">
        <v>5.0999999999999997E-2</v>
      </c>
    </row>
    <row r="7" spans="1:13" x14ac:dyDescent="0.25">
      <c r="A7" s="5" t="s">
        <v>17</v>
      </c>
      <c r="B7" s="2">
        <v>1.94</v>
      </c>
      <c r="C7" s="2">
        <v>1.7130000000000001</v>
      </c>
      <c r="D7" s="2">
        <v>1.7430000000000001</v>
      </c>
      <c r="E7" s="2">
        <v>0.221</v>
      </c>
      <c r="F7" s="2">
        <v>0.22900000000000001</v>
      </c>
      <c r="G7" s="2">
        <v>0.214</v>
      </c>
      <c r="H7" s="2">
        <v>0.16300000000000001</v>
      </c>
      <c r="I7" s="2">
        <v>0.17299999999999999</v>
      </c>
      <c r="J7" s="2">
        <v>0.156</v>
      </c>
      <c r="K7" s="2">
        <v>5.8000000000000003E-2</v>
      </c>
      <c r="L7" s="2">
        <v>5.7000000000000002E-2</v>
      </c>
      <c r="M7" s="2">
        <v>5.5E-2</v>
      </c>
    </row>
    <row r="8" spans="1:13" x14ac:dyDescent="0.25">
      <c r="A8" s="5" t="s">
        <v>18</v>
      </c>
      <c r="B8" s="2">
        <v>1.8360000000000001</v>
      </c>
      <c r="C8" s="2">
        <v>1.81</v>
      </c>
      <c r="D8" s="2">
        <v>1.764</v>
      </c>
      <c r="E8" s="2">
        <v>5.8000000000000003E-2</v>
      </c>
      <c r="F8" s="2">
        <v>5.5E-2</v>
      </c>
      <c r="G8" s="2">
        <v>5.7000000000000002E-2</v>
      </c>
      <c r="H8" s="2">
        <v>0.41199999999999998</v>
      </c>
      <c r="I8" s="2">
        <v>0.36199999999999999</v>
      </c>
      <c r="J8" s="2">
        <v>0.38900000000000001</v>
      </c>
      <c r="K8" s="2">
        <v>0.16200000000000001</v>
      </c>
      <c r="L8" s="2">
        <v>0.154</v>
      </c>
      <c r="M8" s="2">
        <v>0.153</v>
      </c>
    </row>
    <row r="9" spans="1:13" x14ac:dyDescent="0.25">
      <c r="A9" s="5" t="s">
        <v>19</v>
      </c>
      <c r="B9" s="2">
        <v>1.8169999999999999</v>
      </c>
      <c r="C9" s="2">
        <v>1.829</v>
      </c>
      <c r="D9" s="2">
        <v>1.6619999999999999</v>
      </c>
      <c r="E9" s="2">
        <v>0.13900000000000001</v>
      </c>
      <c r="F9" s="2">
        <v>0.14199999999999999</v>
      </c>
      <c r="G9" s="2">
        <v>0.14699999999999999</v>
      </c>
      <c r="H9" s="2">
        <v>0.88500000000000001</v>
      </c>
      <c r="I9" s="2">
        <v>0.96299999999999997</v>
      </c>
      <c r="J9" s="2">
        <v>1.0329999999999999</v>
      </c>
      <c r="K9" s="2">
        <v>5.3999999999999999E-2</v>
      </c>
      <c r="L9" s="2">
        <v>5.1999999999999998E-2</v>
      </c>
      <c r="M9" s="2">
        <v>5.1999999999999998E-2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6" t="s">
        <v>21</v>
      </c>
      <c r="C12" s="6" t="s">
        <v>21</v>
      </c>
      <c r="D12" s="6" t="s">
        <v>21</v>
      </c>
      <c r="E12" s="6" t="s">
        <v>101</v>
      </c>
      <c r="F12" s="6" t="s">
        <v>101</v>
      </c>
      <c r="G12" s="6" t="s">
        <v>101</v>
      </c>
      <c r="H12" s="6" t="s">
        <v>109</v>
      </c>
      <c r="I12" s="6" t="s">
        <v>109</v>
      </c>
      <c r="J12" s="6" t="s">
        <v>109</v>
      </c>
      <c r="K12" s="6" t="s">
        <v>117</v>
      </c>
      <c r="L12" s="6" t="s">
        <v>117</v>
      </c>
      <c r="M12" s="6" t="s">
        <v>117</v>
      </c>
    </row>
    <row r="13" spans="1:13" x14ac:dyDescent="0.25">
      <c r="A13" s="5" t="s">
        <v>13</v>
      </c>
      <c r="B13" s="6" t="s">
        <v>25</v>
      </c>
      <c r="C13" s="6" t="s">
        <v>25</v>
      </c>
      <c r="D13" s="6" t="s">
        <v>25</v>
      </c>
      <c r="E13" s="6" t="s">
        <v>102</v>
      </c>
      <c r="F13" s="6" t="s">
        <v>102</v>
      </c>
      <c r="G13" s="6" t="s">
        <v>102</v>
      </c>
      <c r="H13" s="6" t="s">
        <v>111</v>
      </c>
      <c r="I13" s="6" t="s">
        <v>111</v>
      </c>
      <c r="J13" s="6" t="s">
        <v>111</v>
      </c>
      <c r="K13" s="6" t="s">
        <v>118</v>
      </c>
      <c r="L13" s="6" t="s">
        <v>118</v>
      </c>
      <c r="M13" s="6" t="s">
        <v>118</v>
      </c>
    </row>
    <row r="14" spans="1:13" x14ac:dyDescent="0.25">
      <c r="A14" s="5" t="s">
        <v>14</v>
      </c>
      <c r="B14" s="6" t="s">
        <v>29</v>
      </c>
      <c r="C14" s="6" t="s">
        <v>29</v>
      </c>
      <c r="D14" s="6" t="s">
        <v>29</v>
      </c>
      <c r="E14" s="6" t="s">
        <v>103</v>
      </c>
      <c r="F14" s="6" t="s">
        <v>103</v>
      </c>
      <c r="G14" s="6" t="s">
        <v>103</v>
      </c>
      <c r="H14" s="6" t="s">
        <v>112</v>
      </c>
      <c r="I14" s="6" t="s">
        <v>112</v>
      </c>
      <c r="J14" s="6" t="s">
        <v>112</v>
      </c>
      <c r="K14" s="6" t="s">
        <v>119</v>
      </c>
      <c r="L14" s="6" t="s">
        <v>119</v>
      </c>
      <c r="M14" s="6" t="s">
        <v>119</v>
      </c>
    </row>
    <row r="15" spans="1:13" x14ac:dyDescent="0.25">
      <c r="A15" s="5" t="s">
        <v>15</v>
      </c>
      <c r="B15" s="6" t="s">
        <v>33</v>
      </c>
      <c r="C15" s="6" t="s">
        <v>33</v>
      </c>
      <c r="D15" s="6" t="s">
        <v>33</v>
      </c>
      <c r="E15" s="6" t="s">
        <v>104</v>
      </c>
      <c r="F15" s="6" t="s">
        <v>104</v>
      </c>
      <c r="G15" s="6" t="s">
        <v>104</v>
      </c>
      <c r="H15" s="6" t="s">
        <v>110</v>
      </c>
      <c r="I15" s="6" t="s">
        <v>110</v>
      </c>
      <c r="J15" s="6" t="s">
        <v>110</v>
      </c>
      <c r="K15" s="6" t="s">
        <v>120</v>
      </c>
      <c r="L15" s="6" t="s">
        <v>120</v>
      </c>
      <c r="M15" s="6" t="s">
        <v>120</v>
      </c>
    </row>
    <row r="16" spans="1:13" x14ac:dyDescent="0.25">
      <c r="A16" s="5" t="s">
        <v>16</v>
      </c>
      <c r="B16" s="6" t="s">
        <v>37</v>
      </c>
      <c r="C16" s="6" t="s">
        <v>37</v>
      </c>
      <c r="D16" s="6" t="s">
        <v>37</v>
      </c>
      <c r="E16" s="6" t="s">
        <v>105</v>
      </c>
      <c r="F16" s="6" t="s">
        <v>105</v>
      </c>
      <c r="G16" s="6" t="s">
        <v>105</v>
      </c>
      <c r="H16" s="6" t="s">
        <v>113</v>
      </c>
      <c r="I16" s="6" t="s">
        <v>113</v>
      </c>
      <c r="J16" s="6" t="s">
        <v>113</v>
      </c>
      <c r="K16" s="6" t="s">
        <v>121</v>
      </c>
      <c r="L16" s="6" t="s">
        <v>121</v>
      </c>
      <c r="M16" s="6" t="s">
        <v>121</v>
      </c>
    </row>
    <row r="17" spans="1:13" x14ac:dyDescent="0.25">
      <c r="A17" s="5" t="s">
        <v>17</v>
      </c>
      <c r="B17" s="6" t="s">
        <v>40</v>
      </c>
      <c r="C17" s="6" t="s">
        <v>40</v>
      </c>
      <c r="D17" s="6" t="s">
        <v>40</v>
      </c>
      <c r="E17" s="6" t="s">
        <v>106</v>
      </c>
      <c r="F17" s="6" t="s">
        <v>106</v>
      </c>
      <c r="G17" s="6" t="s">
        <v>106</v>
      </c>
      <c r="H17" s="6" t="s">
        <v>114</v>
      </c>
      <c r="I17" s="6" t="s">
        <v>114</v>
      </c>
      <c r="J17" s="6" t="s">
        <v>114</v>
      </c>
      <c r="K17" s="6" t="s">
        <v>122</v>
      </c>
      <c r="L17" s="6" t="s">
        <v>122</v>
      </c>
      <c r="M17" s="6" t="s">
        <v>122</v>
      </c>
    </row>
    <row r="18" spans="1:13" x14ac:dyDescent="0.25">
      <c r="A18" s="5" t="s">
        <v>18</v>
      </c>
      <c r="B18" s="6" t="s">
        <v>44</v>
      </c>
      <c r="C18" s="6" t="s">
        <v>44</v>
      </c>
      <c r="D18" s="6" t="s">
        <v>44</v>
      </c>
      <c r="E18" s="6" t="s">
        <v>107</v>
      </c>
      <c r="F18" s="6" t="s">
        <v>107</v>
      </c>
      <c r="G18" s="6" t="s">
        <v>107</v>
      </c>
      <c r="H18" s="6" t="s">
        <v>115</v>
      </c>
      <c r="I18" s="6" t="s">
        <v>115</v>
      </c>
      <c r="J18" s="6" t="s">
        <v>115</v>
      </c>
      <c r="K18" s="6" t="s">
        <v>123</v>
      </c>
      <c r="L18" s="6" t="s">
        <v>123</v>
      </c>
      <c r="M18" s="6" t="s">
        <v>123</v>
      </c>
    </row>
    <row r="19" spans="1:13" x14ac:dyDescent="0.25">
      <c r="A19" s="5" t="s">
        <v>19</v>
      </c>
      <c r="B19" s="6" t="s">
        <v>48</v>
      </c>
      <c r="C19" s="6" t="s">
        <v>48</v>
      </c>
      <c r="D19" s="6" t="s">
        <v>48</v>
      </c>
      <c r="E19" s="6" t="s">
        <v>108</v>
      </c>
      <c r="F19" s="6" t="s">
        <v>108</v>
      </c>
      <c r="G19" s="6" t="s">
        <v>108</v>
      </c>
      <c r="H19" s="6" t="s">
        <v>116</v>
      </c>
      <c r="I19" s="6" t="s">
        <v>116</v>
      </c>
      <c r="J19" s="6" t="s">
        <v>116</v>
      </c>
      <c r="K19" s="6" t="s">
        <v>124</v>
      </c>
      <c r="L19" s="6" t="s">
        <v>124</v>
      </c>
      <c r="M19" s="6" t="s">
        <v>124</v>
      </c>
    </row>
    <row r="21" spans="1:13" ht="30" x14ac:dyDescent="0.25">
      <c r="A21" s="4" t="s">
        <v>52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A8B0-E580-4FA0-BD0E-E9D3639CF0DB}">
  <dimension ref="A1:M29"/>
  <sheetViews>
    <sheetView workbookViewId="0">
      <selection activeCell="N1" sqref="N1:N1048576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5.0999999999999997E-2</v>
      </c>
      <c r="C2" s="2">
        <v>5.1999999999999998E-2</v>
      </c>
      <c r="D2" s="2">
        <v>4.9000000000000002E-2</v>
      </c>
      <c r="E2" s="2">
        <v>6.9000000000000006E-2</v>
      </c>
      <c r="F2" s="2">
        <v>6.7000000000000004E-2</v>
      </c>
      <c r="G2" s="2">
        <v>7.1999999999999995E-2</v>
      </c>
      <c r="H2" s="2">
        <v>0.14000000000000001</v>
      </c>
      <c r="I2" s="2">
        <v>0.11700000000000001</v>
      </c>
      <c r="J2" s="2">
        <v>0.14199999999999999</v>
      </c>
      <c r="K2" s="2">
        <v>6.5000000000000002E-2</v>
      </c>
      <c r="L2" s="2">
        <v>6.0999999999999999E-2</v>
      </c>
      <c r="M2" s="2">
        <v>5.8999999999999997E-2</v>
      </c>
    </row>
    <row r="3" spans="1:13" x14ac:dyDescent="0.25">
      <c r="A3" s="5" t="s">
        <v>13</v>
      </c>
      <c r="B3" s="2">
        <v>0.17</v>
      </c>
      <c r="C3" s="2">
        <v>0.17799999999999999</v>
      </c>
      <c r="D3" s="2">
        <v>0.16800000000000001</v>
      </c>
      <c r="E3" s="2">
        <v>6.4000000000000001E-2</v>
      </c>
      <c r="F3" s="2">
        <v>0.06</v>
      </c>
      <c r="G3" s="2">
        <v>5.8000000000000003E-2</v>
      </c>
      <c r="H3" s="2">
        <v>0.48199999999999998</v>
      </c>
      <c r="I3" s="2">
        <v>0.50900000000000001</v>
      </c>
      <c r="J3" s="2">
        <v>0.42</v>
      </c>
      <c r="K3" s="2">
        <v>7.1999999999999995E-2</v>
      </c>
      <c r="L3" s="2">
        <v>7.1999999999999995E-2</v>
      </c>
      <c r="M3" s="2">
        <v>7.3999999999999996E-2</v>
      </c>
    </row>
    <row r="4" spans="1:13" x14ac:dyDescent="0.25">
      <c r="A4" s="5" t="s">
        <v>14</v>
      </c>
      <c r="B4" s="2">
        <v>0.374</v>
      </c>
      <c r="C4" s="2">
        <v>0.34799999999999998</v>
      </c>
      <c r="D4" s="2">
        <v>0.316</v>
      </c>
      <c r="E4" s="2">
        <v>0.107</v>
      </c>
      <c r="F4" s="2">
        <v>0.11600000000000001</v>
      </c>
      <c r="G4" s="2">
        <v>0.11899999999999999</v>
      </c>
      <c r="H4" s="2">
        <v>5.7000000000000002E-2</v>
      </c>
      <c r="I4" s="2">
        <v>5.7000000000000002E-2</v>
      </c>
      <c r="J4" s="2">
        <v>5.6000000000000001E-2</v>
      </c>
      <c r="K4" s="2">
        <v>7.6999999999999999E-2</v>
      </c>
      <c r="L4" s="2">
        <v>6.9000000000000006E-2</v>
      </c>
      <c r="M4" s="2">
        <v>7.6999999999999999E-2</v>
      </c>
    </row>
    <row r="5" spans="1:13" x14ac:dyDescent="0.25">
      <c r="A5" s="5" t="s">
        <v>15</v>
      </c>
      <c r="B5" s="2">
        <v>0.76600000000000001</v>
      </c>
      <c r="C5" s="2">
        <v>0.55100000000000005</v>
      </c>
      <c r="D5" s="2">
        <v>0.59399999999999997</v>
      </c>
      <c r="E5" s="2">
        <v>8.5000000000000006E-2</v>
      </c>
      <c r="F5" s="2">
        <v>8.5999999999999993E-2</v>
      </c>
      <c r="G5" s="2">
        <v>8.7999999999999995E-2</v>
      </c>
      <c r="H5" s="2">
        <v>6.3E-2</v>
      </c>
      <c r="I5" s="2">
        <v>6.0999999999999999E-2</v>
      </c>
      <c r="J5" s="2">
        <v>0.06</v>
      </c>
      <c r="K5" s="2">
        <v>7.2999999999999995E-2</v>
      </c>
      <c r="L5" s="2">
        <v>7.3999999999999996E-2</v>
      </c>
      <c r="M5" s="2">
        <v>7.2999999999999995E-2</v>
      </c>
    </row>
    <row r="6" spans="1:13" x14ac:dyDescent="0.25">
      <c r="A6" s="5" t="s">
        <v>16</v>
      </c>
      <c r="B6" s="2">
        <v>1.036</v>
      </c>
      <c r="C6" s="2">
        <v>1.0980000000000001</v>
      </c>
      <c r="D6" s="2">
        <v>1.0880000000000001</v>
      </c>
      <c r="E6" s="2">
        <v>5.7000000000000002E-2</v>
      </c>
      <c r="F6" s="2">
        <v>5.6000000000000001E-2</v>
      </c>
      <c r="G6" s="2">
        <v>5.5E-2</v>
      </c>
      <c r="H6" s="2">
        <v>9.1999999999999998E-2</v>
      </c>
      <c r="I6" s="2">
        <v>0.09</v>
      </c>
      <c r="J6" s="2">
        <v>0.08</v>
      </c>
      <c r="K6" s="2">
        <v>7.3999999999999996E-2</v>
      </c>
      <c r="L6" s="2">
        <v>7.5999999999999998E-2</v>
      </c>
      <c r="M6" s="2">
        <v>7.0000000000000007E-2</v>
      </c>
    </row>
    <row r="7" spans="1:13" x14ac:dyDescent="0.25">
      <c r="A7" s="5" t="s">
        <v>17</v>
      </c>
      <c r="B7" s="2">
        <v>1.8069999999999999</v>
      </c>
      <c r="C7" s="2">
        <v>1.752</v>
      </c>
      <c r="D7" s="2">
        <v>1.5629999999999999</v>
      </c>
      <c r="E7" s="2">
        <v>5.5E-2</v>
      </c>
      <c r="F7" s="2">
        <v>5.3999999999999999E-2</v>
      </c>
      <c r="G7" s="2">
        <v>5.5E-2</v>
      </c>
      <c r="H7" s="2">
        <v>9.6000000000000002E-2</v>
      </c>
      <c r="I7" s="2">
        <v>8.7999999999999995E-2</v>
      </c>
      <c r="J7" s="2">
        <v>8.3000000000000004E-2</v>
      </c>
      <c r="K7" s="2">
        <v>5.2999999999999999E-2</v>
      </c>
      <c r="L7" s="2">
        <v>4.9000000000000002E-2</v>
      </c>
      <c r="M7" s="2">
        <v>4.8000000000000001E-2</v>
      </c>
    </row>
    <row r="8" spans="1:13" x14ac:dyDescent="0.25">
      <c r="A8" s="5" t="s">
        <v>18</v>
      </c>
      <c r="B8" s="2">
        <v>1.7649999999999999</v>
      </c>
      <c r="C8" s="2">
        <v>1.6890000000000001</v>
      </c>
      <c r="D8" s="2">
        <v>1.663</v>
      </c>
      <c r="E8" s="2">
        <v>1.004</v>
      </c>
      <c r="F8" s="2">
        <v>0.83499999999999996</v>
      </c>
      <c r="G8" s="2">
        <v>0.98699999999999999</v>
      </c>
      <c r="H8" s="2">
        <v>9.1999999999999998E-2</v>
      </c>
      <c r="I8" s="2">
        <v>8.7999999999999995E-2</v>
      </c>
      <c r="J8" s="2">
        <v>8.7999999999999995E-2</v>
      </c>
      <c r="K8" s="2">
        <v>5.0999999999999997E-2</v>
      </c>
      <c r="L8" s="2">
        <v>4.9000000000000002E-2</v>
      </c>
      <c r="M8" s="2">
        <v>0.05</v>
      </c>
    </row>
    <row r="9" spans="1:13" x14ac:dyDescent="0.25">
      <c r="A9" s="5" t="s">
        <v>19</v>
      </c>
      <c r="B9" s="2">
        <v>1.6539999999999999</v>
      </c>
      <c r="C9" s="2">
        <v>1.74</v>
      </c>
      <c r="D9" s="2">
        <v>1.6930000000000001</v>
      </c>
      <c r="E9" s="2">
        <v>0.14099999999999999</v>
      </c>
      <c r="F9" s="2">
        <v>0.155</v>
      </c>
      <c r="G9" s="2">
        <v>0.14099999999999999</v>
      </c>
      <c r="H9" s="2">
        <v>0.623</v>
      </c>
      <c r="I9" s="2">
        <v>0.63500000000000001</v>
      </c>
      <c r="J9" s="2">
        <v>0.59699999999999998</v>
      </c>
      <c r="K9" s="2">
        <v>0.05</v>
      </c>
      <c r="L9" s="2">
        <v>4.9000000000000002E-2</v>
      </c>
      <c r="M9" s="2">
        <v>4.9000000000000002E-2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6" t="s">
        <v>21</v>
      </c>
      <c r="C12" s="6" t="s">
        <v>21</v>
      </c>
      <c r="D12" s="6" t="s">
        <v>21</v>
      </c>
      <c r="E12" s="6" t="s">
        <v>125</v>
      </c>
      <c r="F12" s="6" t="s">
        <v>125</v>
      </c>
      <c r="G12" s="6" t="s">
        <v>125</v>
      </c>
      <c r="H12" s="6" t="s">
        <v>133</v>
      </c>
      <c r="I12" s="6" t="s">
        <v>133</v>
      </c>
      <c r="J12" s="6" t="s">
        <v>133</v>
      </c>
      <c r="K12" s="6" t="s">
        <v>141</v>
      </c>
      <c r="L12" s="6" t="s">
        <v>141</v>
      </c>
      <c r="M12" s="6" t="s">
        <v>141</v>
      </c>
    </row>
    <row r="13" spans="1:13" x14ac:dyDescent="0.25">
      <c r="A13" s="5" t="s">
        <v>13</v>
      </c>
      <c r="B13" s="6" t="s">
        <v>25</v>
      </c>
      <c r="C13" s="6" t="s">
        <v>25</v>
      </c>
      <c r="D13" s="6" t="s">
        <v>25</v>
      </c>
      <c r="E13" s="6" t="s">
        <v>126</v>
      </c>
      <c r="F13" s="6" t="s">
        <v>126</v>
      </c>
      <c r="G13" s="6" t="s">
        <v>126</v>
      </c>
      <c r="H13" s="6" t="s">
        <v>134</v>
      </c>
      <c r="I13" s="6" t="s">
        <v>134</v>
      </c>
      <c r="J13" s="6" t="s">
        <v>134</v>
      </c>
      <c r="K13" s="6" t="s">
        <v>142</v>
      </c>
      <c r="L13" s="6" t="s">
        <v>142</v>
      </c>
      <c r="M13" s="6" t="s">
        <v>142</v>
      </c>
    </row>
    <row r="14" spans="1:13" x14ac:dyDescent="0.25">
      <c r="A14" s="5" t="s">
        <v>14</v>
      </c>
      <c r="B14" s="6" t="s">
        <v>29</v>
      </c>
      <c r="C14" s="6" t="s">
        <v>29</v>
      </c>
      <c r="D14" s="6" t="s">
        <v>29</v>
      </c>
      <c r="E14" s="6" t="s">
        <v>127</v>
      </c>
      <c r="F14" s="6" t="s">
        <v>127</v>
      </c>
      <c r="G14" s="6" t="s">
        <v>127</v>
      </c>
      <c r="H14" s="6" t="s">
        <v>135</v>
      </c>
      <c r="I14" s="6" t="s">
        <v>135</v>
      </c>
      <c r="J14" s="6" t="s">
        <v>135</v>
      </c>
      <c r="K14" s="6" t="s">
        <v>143</v>
      </c>
      <c r="L14" s="6" t="s">
        <v>143</v>
      </c>
      <c r="M14" s="6" t="s">
        <v>143</v>
      </c>
    </row>
    <row r="15" spans="1:13" x14ac:dyDescent="0.25">
      <c r="A15" s="5" t="s">
        <v>15</v>
      </c>
      <c r="B15" s="6" t="s">
        <v>33</v>
      </c>
      <c r="C15" s="6" t="s">
        <v>33</v>
      </c>
      <c r="D15" s="6" t="s">
        <v>33</v>
      </c>
      <c r="E15" s="6" t="s">
        <v>128</v>
      </c>
      <c r="F15" s="6" t="s">
        <v>128</v>
      </c>
      <c r="G15" s="6" t="s">
        <v>128</v>
      </c>
      <c r="H15" s="6" t="s">
        <v>136</v>
      </c>
      <c r="I15" s="6" t="s">
        <v>136</v>
      </c>
      <c r="J15" s="6" t="s">
        <v>136</v>
      </c>
      <c r="K15" s="6" t="s">
        <v>144</v>
      </c>
      <c r="L15" s="6" t="s">
        <v>144</v>
      </c>
      <c r="M15" s="6" t="s">
        <v>144</v>
      </c>
    </row>
    <row r="16" spans="1:13" x14ac:dyDescent="0.25">
      <c r="A16" s="5" t="s">
        <v>16</v>
      </c>
      <c r="B16" s="6" t="s">
        <v>37</v>
      </c>
      <c r="C16" s="6" t="s">
        <v>37</v>
      </c>
      <c r="D16" s="6" t="s">
        <v>37</v>
      </c>
      <c r="E16" s="6" t="s">
        <v>129</v>
      </c>
      <c r="F16" s="6" t="s">
        <v>129</v>
      </c>
      <c r="G16" s="6" t="s">
        <v>129</v>
      </c>
      <c r="H16" s="6" t="s">
        <v>137</v>
      </c>
      <c r="I16" s="6" t="s">
        <v>137</v>
      </c>
      <c r="J16" s="6" t="s">
        <v>137</v>
      </c>
      <c r="K16" s="6" t="s">
        <v>145</v>
      </c>
      <c r="L16" s="6" t="s">
        <v>145</v>
      </c>
      <c r="M16" s="6" t="s">
        <v>145</v>
      </c>
    </row>
    <row r="17" spans="1:13" x14ac:dyDescent="0.25">
      <c r="A17" s="5" t="s">
        <v>17</v>
      </c>
      <c r="B17" s="6" t="s">
        <v>40</v>
      </c>
      <c r="C17" s="6" t="s">
        <v>40</v>
      </c>
      <c r="D17" s="6" t="s">
        <v>40</v>
      </c>
      <c r="E17" s="6" t="s">
        <v>130</v>
      </c>
      <c r="F17" s="6" t="s">
        <v>130</v>
      </c>
      <c r="G17" s="6" t="s">
        <v>130</v>
      </c>
      <c r="H17" s="6" t="s">
        <v>138</v>
      </c>
      <c r="I17" s="6" t="s">
        <v>138</v>
      </c>
      <c r="J17" s="6" t="s">
        <v>138</v>
      </c>
      <c r="K17" s="6" t="s">
        <v>146</v>
      </c>
      <c r="L17" s="6" t="s">
        <v>146</v>
      </c>
      <c r="M17" s="6" t="s">
        <v>146</v>
      </c>
    </row>
    <row r="18" spans="1:13" x14ac:dyDescent="0.25">
      <c r="A18" s="5" t="s">
        <v>18</v>
      </c>
      <c r="B18" s="6" t="s">
        <v>44</v>
      </c>
      <c r="C18" s="6" t="s">
        <v>44</v>
      </c>
      <c r="D18" s="6" t="s">
        <v>44</v>
      </c>
      <c r="E18" s="6" t="s">
        <v>131</v>
      </c>
      <c r="F18" s="6" t="s">
        <v>131</v>
      </c>
      <c r="G18" s="6" t="s">
        <v>131</v>
      </c>
      <c r="H18" s="6" t="s">
        <v>139</v>
      </c>
      <c r="I18" s="6" t="s">
        <v>139</v>
      </c>
      <c r="J18" s="6" t="s">
        <v>139</v>
      </c>
      <c r="K18" s="6" t="s">
        <v>147</v>
      </c>
      <c r="L18" s="6" t="s">
        <v>147</v>
      </c>
      <c r="M18" s="6" t="s">
        <v>147</v>
      </c>
    </row>
    <row r="19" spans="1:13" x14ac:dyDescent="0.25">
      <c r="A19" s="5" t="s">
        <v>19</v>
      </c>
      <c r="B19" s="6" t="s">
        <v>48</v>
      </c>
      <c r="C19" s="6" t="s">
        <v>48</v>
      </c>
      <c r="D19" s="6" t="s">
        <v>48</v>
      </c>
      <c r="E19" s="6" t="s">
        <v>132</v>
      </c>
      <c r="F19" s="6" t="s">
        <v>132</v>
      </c>
      <c r="G19" s="6" t="s">
        <v>132</v>
      </c>
      <c r="H19" s="6" t="s">
        <v>140</v>
      </c>
      <c r="I19" s="6" t="s">
        <v>140</v>
      </c>
      <c r="J19" s="6" t="s">
        <v>140</v>
      </c>
      <c r="K19" s="6" t="s">
        <v>148</v>
      </c>
      <c r="L19" s="6" t="s">
        <v>148</v>
      </c>
      <c r="M19" s="6" t="s">
        <v>148</v>
      </c>
    </row>
    <row r="21" spans="1:13" ht="30" x14ac:dyDescent="0.25">
      <c r="A21" s="4" t="s">
        <v>52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A7B8-FBCB-427D-AB44-B30AA025ACC1}">
  <dimension ref="A1:M29"/>
  <sheetViews>
    <sheetView workbookViewId="0">
      <selection activeCell="A10" sqref="A10:M30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5.8000000000000003E-2</v>
      </c>
      <c r="C2" s="2">
        <v>5.3999999999999999E-2</v>
      </c>
      <c r="D2" s="2">
        <v>5.6000000000000001E-2</v>
      </c>
      <c r="E2" s="2">
        <v>5.7000000000000002E-2</v>
      </c>
      <c r="F2" s="2">
        <v>5.6000000000000001E-2</v>
      </c>
      <c r="G2" s="2">
        <v>6.4000000000000001E-2</v>
      </c>
      <c r="H2" s="2">
        <v>0.06</v>
      </c>
      <c r="I2" s="2">
        <v>5.8999999999999997E-2</v>
      </c>
      <c r="J2" s="2">
        <v>6.8000000000000005E-2</v>
      </c>
      <c r="K2" s="2">
        <v>7.0000000000000007E-2</v>
      </c>
      <c r="L2" s="2">
        <v>6.8000000000000005E-2</v>
      </c>
      <c r="M2" s="2">
        <v>6.7000000000000004E-2</v>
      </c>
    </row>
    <row r="3" spans="1:13" x14ac:dyDescent="0.25">
      <c r="A3" s="5" t="s">
        <v>13</v>
      </c>
      <c r="B3" s="2">
        <v>0.17699999999999999</v>
      </c>
      <c r="C3" s="2">
        <v>0.17699999999999999</v>
      </c>
      <c r="D3" s="2">
        <v>0.22800000000000001</v>
      </c>
      <c r="E3" s="2">
        <v>0.06</v>
      </c>
      <c r="F3" s="2">
        <v>5.5E-2</v>
      </c>
      <c r="G3" s="2">
        <v>6.0999999999999999E-2</v>
      </c>
      <c r="H3" s="2">
        <v>5.2999999999999999E-2</v>
      </c>
      <c r="I3" s="2">
        <v>5.6000000000000001E-2</v>
      </c>
      <c r="J3" s="2">
        <v>5.8000000000000003E-2</v>
      </c>
      <c r="K3" s="2">
        <v>0.19500000000000001</v>
      </c>
      <c r="L3" s="2">
        <v>0.19400000000000001</v>
      </c>
      <c r="M3" s="2">
        <v>0.28000000000000003</v>
      </c>
    </row>
    <row r="4" spans="1:13" x14ac:dyDescent="0.25">
      <c r="A4" s="5" t="s">
        <v>14</v>
      </c>
      <c r="B4" s="2">
        <v>0.44600000000000001</v>
      </c>
      <c r="C4" s="2">
        <v>0.32400000000000001</v>
      </c>
      <c r="D4" s="2">
        <v>0.36499999999999999</v>
      </c>
      <c r="E4" s="2">
        <v>5.7000000000000002E-2</v>
      </c>
      <c r="F4" s="2">
        <v>6.0999999999999999E-2</v>
      </c>
      <c r="G4" s="2">
        <v>6.3E-2</v>
      </c>
      <c r="H4" s="2">
        <v>5.7000000000000002E-2</v>
      </c>
      <c r="I4" s="2">
        <v>5.8000000000000003E-2</v>
      </c>
      <c r="J4" s="2">
        <v>5.6000000000000001E-2</v>
      </c>
      <c r="K4" s="2">
        <v>0.54100000000000004</v>
      </c>
      <c r="L4" s="2">
        <v>0.77200000000000002</v>
      </c>
      <c r="M4" s="2">
        <v>0.60899999999999999</v>
      </c>
    </row>
    <row r="5" spans="1:13" x14ac:dyDescent="0.25">
      <c r="A5" s="5" t="s">
        <v>15</v>
      </c>
      <c r="B5" s="2">
        <v>0.65400000000000003</v>
      </c>
      <c r="C5" s="2">
        <v>0.624</v>
      </c>
      <c r="D5" s="2">
        <v>0.68100000000000005</v>
      </c>
      <c r="E5" s="2">
        <v>5.5E-2</v>
      </c>
      <c r="F5" s="2">
        <v>5.6000000000000001E-2</v>
      </c>
      <c r="G5" s="2">
        <v>5.8000000000000003E-2</v>
      </c>
      <c r="H5" s="2">
        <v>6.0999999999999999E-2</v>
      </c>
      <c r="I5" s="2">
        <v>5.8000000000000003E-2</v>
      </c>
      <c r="J5" s="2">
        <v>0.06</v>
      </c>
      <c r="K5" s="2">
        <v>0.37</v>
      </c>
      <c r="L5" s="2">
        <v>0.34899999999999998</v>
      </c>
      <c r="M5" s="2">
        <v>0.313</v>
      </c>
    </row>
    <row r="6" spans="1:13" x14ac:dyDescent="0.25">
      <c r="A6" s="5" t="s">
        <v>16</v>
      </c>
      <c r="B6" s="2">
        <v>1.089</v>
      </c>
      <c r="C6" s="2">
        <v>1.131</v>
      </c>
      <c r="D6" s="2">
        <v>1.2709999999999999</v>
      </c>
      <c r="E6" s="2">
        <v>5.8999999999999997E-2</v>
      </c>
      <c r="F6" s="2">
        <v>5.8000000000000003E-2</v>
      </c>
      <c r="G6" s="2">
        <v>5.8000000000000003E-2</v>
      </c>
      <c r="H6" s="2">
        <v>5.7000000000000002E-2</v>
      </c>
      <c r="I6" s="2">
        <v>0.06</v>
      </c>
      <c r="J6" s="2">
        <v>5.8999999999999997E-2</v>
      </c>
      <c r="K6" s="2">
        <v>0.65400000000000003</v>
      </c>
      <c r="L6" s="2">
        <v>0.56499999999999995</v>
      </c>
      <c r="M6" s="2">
        <v>0.51</v>
      </c>
    </row>
    <row r="7" spans="1:13" x14ac:dyDescent="0.25">
      <c r="A7" s="5" t="s">
        <v>17</v>
      </c>
      <c r="B7" s="2">
        <v>1.635</v>
      </c>
      <c r="C7" s="2">
        <v>1.631</v>
      </c>
      <c r="D7" s="2">
        <v>1.625</v>
      </c>
      <c r="E7" s="2">
        <v>5.8999999999999997E-2</v>
      </c>
      <c r="F7" s="2">
        <v>5.8000000000000003E-2</v>
      </c>
      <c r="G7" s="2">
        <v>0.06</v>
      </c>
      <c r="H7" s="2">
        <v>5.7000000000000002E-2</v>
      </c>
      <c r="I7" s="2">
        <v>0.06</v>
      </c>
      <c r="J7" s="2">
        <v>5.7000000000000002E-2</v>
      </c>
      <c r="K7" s="2">
        <v>0.46100000000000002</v>
      </c>
      <c r="L7" s="2">
        <v>0.43</v>
      </c>
      <c r="M7" s="2">
        <v>0.46400000000000002</v>
      </c>
    </row>
    <row r="8" spans="1:13" x14ac:dyDescent="0.25">
      <c r="A8" s="5" t="s">
        <v>18</v>
      </c>
      <c r="B8" s="2">
        <v>1.641</v>
      </c>
      <c r="C8" s="2">
        <v>1.7010000000000001</v>
      </c>
      <c r="D8" s="2">
        <v>1.6839999999999999</v>
      </c>
      <c r="E8" s="2">
        <v>5.5E-2</v>
      </c>
      <c r="F8" s="2">
        <v>5.7000000000000002E-2</v>
      </c>
      <c r="G8" s="2">
        <v>5.6000000000000001E-2</v>
      </c>
      <c r="H8" s="2">
        <v>6.0999999999999999E-2</v>
      </c>
      <c r="I8" s="2">
        <v>6.3E-2</v>
      </c>
      <c r="J8" s="2">
        <v>6.4000000000000001E-2</v>
      </c>
      <c r="K8" s="2">
        <v>0.109</v>
      </c>
      <c r="L8" s="2">
        <v>0.11799999999999999</v>
      </c>
      <c r="M8" s="2">
        <v>0.105</v>
      </c>
    </row>
    <row r="9" spans="1:13" x14ac:dyDescent="0.25">
      <c r="A9" s="5" t="s">
        <v>19</v>
      </c>
      <c r="B9" s="2">
        <v>1.7130000000000001</v>
      </c>
      <c r="C9" s="2">
        <v>1.5940000000000001</v>
      </c>
      <c r="D9" s="2">
        <v>1.7030000000000001</v>
      </c>
      <c r="E9" s="2">
        <v>6.2E-2</v>
      </c>
      <c r="F9" s="2">
        <v>6.0999999999999999E-2</v>
      </c>
      <c r="G9" s="2">
        <v>6.3E-2</v>
      </c>
      <c r="H9" s="2">
        <v>0.40400000000000003</v>
      </c>
      <c r="I9" s="2">
        <v>0.35099999999999998</v>
      </c>
      <c r="J9" s="2">
        <v>0.40600000000000003</v>
      </c>
      <c r="K9" s="2">
        <v>0.71</v>
      </c>
      <c r="L9" s="2">
        <v>0.626</v>
      </c>
      <c r="M9" s="2">
        <v>0.65700000000000003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6" t="s">
        <v>21</v>
      </c>
      <c r="C12" s="6" t="s">
        <v>21</v>
      </c>
      <c r="D12" s="6" t="s">
        <v>21</v>
      </c>
      <c r="E12" s="6" t="s">
        <v>150</v>
      </c>
      <c r="F12" s="6" t="s">
        <v>150</v>
      </c>
      <c r="G12" s="6" t="s">
        <v>150</v>
      </c>
      <c r="H12" s="6" t="s">
        <v>158</v>
      </c>
      <c r="I12" s="6" t="s">
        <v>158</v>
      </c>
      <c r="J12" s="6" t="s">
        <v>158</v>
      </c>
      <c r="K12" s="6" t="s">
        <v>164</v>
      </c>
      <c r="L12" s="6" t="s">
        <v>164</v>
      </c>
      <c r="M12" s="6" t="s">
        <v>164</v>
      </c>
    </row>
    <row r="13" spans="1:13" x14ac:dyDescent="0.25">
      <c r="A13" s="5" t="s">
        <v>13</v>
      </c>
      <c r="B13" s="6" t="s">
        <v>25</v>
      </c>
      <c r="C13" s="6" t="s">
        <v>25</v>
      </c>
      <c r="D13" s="6" t="s">
        <v>25</v>
      </c>
      <c r="E13" s="6" t="s">
        <v>151</v>
      </c>
      <c r="F13" s="6" t="s">
        <v>151</v>
      </c>
      <c r="G13" s="6" t="s">
        <v>151</v>
      </c>
      <c r="H13" s="6" t="s">
        <v>159</v>
      </c>
      <c r="I13" s="6" t="s">
        <v>159</v>
      </c>
      <c r="J13" s="6" t="s">
        <v>159</v>
      </c>
      <c r="K13" s="6" t="s">
        <v>167</v>
      </c>
      <c r="L13" s="6" t="s">
        <v>167</v>
      </c>
      <c r="M13" s="6" t="s">
        <v>167</v>
      </c>
    </row>
    <row r="14" spans="1:13" x14ac:dyDescent="0.25">
      <c r="A14" s="5" t="s">
        <v>14</v>
      </c>
      <c r="B14" s="6" t="s">
        <v>29</v>
      </c>
      <c r="C14" s="6" t="s">
        <v>29</v>
      </c>
      <c r="D14" s="6" t="s">
        <v>29</v>
      </c>
      <c r="E14" s="6" t="s">
        <v>152</v>
      </c>
      <c r="F14" s="6" t="s">
        <v>152</v>
      </c>
      <c r="G14" s="6" t="s">
        <v>152</v>
      </c>
      <c r="H14" s="6" t="s">
        <v>160</v>
      </c>
      <c r="I14" s="6" t="s">
        <v>160</v>
      </c>
      <c r="J14" s="6" t="s">
        <v>160</v>
      </c>
      <c r="K14" s="6" t="s">
        <v>168</v>
      </c>
      <c r="L14" s="6" t="s">
        <v>168</v>
      </c>
      <c r="M14" s="6" t="s">
        <v>168</v>
      </c>
    </row>
    <row r="15" spans="1:13" x14ac:dyDescent="0.25">
      <c r="A15" s="5" t="s">
        <v>15</v>
      </c>
      <c r="B15" s="6" t="s">
        <v>33</v>
      </c>
      <c r="C15" s="6" t="s">
        <v>33</v>
      </c>
      <c r="D15" s="6" t="s">
        <v>33</v>
      </c>
      <c r="E15" s="6" t="s">
        <v>153</v>
      </c>
      <c r="F15" s="6" t="s">
        <v>153</v>
      </c>
      <c r="G15" s="6" t="s">
        <v>153</v>
      </c>
      <c r="H15" s="6" t="s">
        <v>161</v>
      </c>
      <c r="I15" s="6" t="s">
        <v>161</v>
      </c>
      <c r="J15" s="6" t="s">
        <v>161</v>
      </c>
      <c r="K15" s="6" t="s">
        <v>169</v>
      </c>
      <c r="L15" s="6" t="s">
        <v>169</v>
      </c>
      <c r="M15" s="6" t="s">
        <v>169</v>
      </c>
    </row>
    <row r="16" spans="1:13" x14ac:dyDescent="0.25">
      <c r="A16" s="5" t="s">
        <v>16</v>
      </c>
      <c r="B16" s="6" t="s">
        <v>37</v>
      </c>
      <c r="C16" s="6" t="s">
        <v>37</v>
      </c>
      <c r="D16" s="6" t="s">
        <v>37</v>
      </c>
      <c r="E16" s="6" t="s">
        <v>154</v>
      </c>
      <c r="F16" s="6" t="s">
        <v>154</v>
      </c>
      <c r="G16" s="6" t="s">
        <v>154</v>
      </c>
      <c r="H16" s="6" t="s">
        <v>162</v>
      </c>
      <c r="I16" s="6" t="s">
        <v>162</v>
      </c>
      <c r="J16" s="6" t="s">
        <v>162</v>
      </c>
      <c r="K16" s="6" t="s">
        <v>170</v>
      </c>
      <c r="L16" s="6" t="s">
        <v>170</v>
      </c>
      <c r="M16" s="6" t="s">
        <v>170</v>
      </c>
    </row>
    <row r="17" spans="1:13" x14ac:dyDescent="0.25">
      <c r="A17" s="5" t="s">
        <v>17</v>
      </c>
      <c r="B17" s="6" t="s">
        <v>40</v>
      </c>
      <c r="C17" s="6" t="s">
        <v>40</v>
      </c>
      <c r="D17" s="6" t="s">
        <v>40</v>
      </c>
      <c r="E17" s="6" t="s">
        <v>155</v>
      </c>
      <c r="F17" s="6" t="s">
        <v>155</v>
      </c>
      <c r="G17" s="6" t="s">
        <v>155</v>
      </c>
      <c r="H17" s="6" t="s">
        <v>165</v>
      </c>
      <c r="I17" s="6" t="s">
        <v>165</v>
      </c>
      <c r="J17" s="6" t="s">
        <v>165</v>
      </c>
      <c r="K17" s="6" t="s">
        <v>171</v>
      </c>
      <c r="L17" s="6" t="s">
        <v>171</v>
      </c>
      <c r="M17" s="6" t="s">
        <v>171</v>
      </c>
    </row>
    <row r="18" spans="1:13" x14ac:dyDescent="0.25">
      <c r="A18" s="5" t="s">
        <v>18</v>
      </c>
      <c r="B18" s="6" t="s">
        <v>44</v>
      </c>
      <c r="C18" s="6" t="s">
        <v>44</v>
      </c>
      <c r="D18" s="6" t="s">
        <v>44</v>
      </c>
      <c r="E18" s="6" t="s">
        <v>156</v>
      </c>
      <c r="F18" s="6" t="s">
        <v>156</v>
      </c>
      <c r="G18" s="6" t="s">
        <v>156</v>
      </c>
      <c r="H18" s="6" t="s">
        <v>163</v>
      </c>
      <c r="I18" s="6" t="s">
        <v>163</v>
      </c>
      <c r="J18" s="6" t="s">
        <v>163</v>
      </c>
      <c r="K18" s="6" t="s">
        <v>172</v>
      </c>
      <c r="L18" s="6" t="s">
        <v>172</v>
      </c>
      <c r="M18" s="6" t="s">
        <v>172</v>
      </c>
    </row>
    <row r="19" spans="1:13" x14ac:dyDescent="0.25">
      <c r="A19" s="5" t="s">
        <v>19</v>
      </c>
      <c r="B19" s="6" t="s">
        <v>48</v>
      </c>
      <c r="C19" s="6" t="s">
        <v>48</v>
      </c>
      <c r="D19" s="6" t="s">
        <v>48</v>
      </c>
      <c r="E19" s="6" t="s">
        <v>157</v>
      </c>
      <c r="F19" s="6" t="s">
        <v>157</v>
      </c>
      <c r="G19" s="6" t="s">
        <v>157</v>
      </c>
      <c r="H19" s="6" t="s">
        <v>166</v>
      </c>
      <c r="I19" s="6" t="s">
        <v>166</v>
      </c>
      <c r="J19" s="6" t="s">
        <v>166</v>
      </c>
      <c r="K19" s="6" t="s">
        <v>173</v>
      </c>
      <c r="L19" s="6" t="s">
        <v>173</v>
      </c>
      <c r="M19" s="6" t="s">
        <v>173</v>
      </c>
    </row>
    <row r="21" spans="1:13" ht="30" x14ac:dyDescent="0.25">
      <c r="A21" s="4" t="s">
        <v>52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0BCB-3FD5-4EC2-B57E-9CAE313CDD1F}">
  <dimension ref="A1:M29"/>
  <sheetViews>
    <sheetView workbookViewId="0">
      <selection activeCell="A10" sqref="A10:M30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5.3999999999999999E-2</v>
      </c>
      <c r="C2" s="2">
        <v>5.8000000000000003E-2</v>
      </c>
      <c r="D2" s="2">
        <v>5.0999999999999997E-2</v>
      </c>
      <c r="E2" s="2">
        <v>0.36499999999999999</v>
      </c>
      <c r="F2" s="2">
        <v>0.314</v>
      </c>
      <c r="G2" s="2">
        <v>0.28599999999999998</v>
      </c>
      <c r="H2" s="2">
        <v>3.7999999999999999E-2</v>
      </c>
      <c r="I2" s="2">
        <v>3.6999999999999998E-2</v>
      </c>
      <c r="J2" s="2">
        <v>3.6999999999999998E-2</v>
      </c>
      <c r="K2" s="2">
        <v>4.4999999999999998E-2</v>
      </c>
      <c r="L2" s="2">
        <v>3.5000000000000003E-2</v>
      </c>
      <c r="M2" s="2">
        <v>3.5000000000000003E-2</v>
      </c>
    </row>
    <row r="3" spans="1:13" x14ac:dyDescent="0.25">
      <c r="A3" s="5" t="s">
        <v>13</v>
      </c>
      <c r="B3" s="2">
        <v>0.17299999999999999</v>
      </c>
      <c r="C3" s="2">
        <v>0.17100000000000001</v>
      </c>
      <c r="D3" s="2">
        <v>0.192</v>
      </c>
      <c r="E3" s="2">
        <v>0.55100000000000005</v>
      </c>
      <c r="F3" s="2">
        <v>0.52400000000000002</v>
      </c>
      <c r="G3" s="2">
        <v>0.47899999999999998</v>
      </c>
      <c r="H3" s="2">
        <v>3.5999999999999997E-2</v>
      </c>
      <c r="I3" s="2">
        <v>3.5999999999999997E-2</v>
      </c>
      <c r="J3" s="2">
        <v>3.5999999999999997E-2</v>
      </c>
      <c r="K3" s="2">
        <v>4.5999999999999999E-2</v>
      </c>
      <c r="L3" s="2">
        <v>4.3999999999999997E-2</v>
      </c>
      <c r="M3" s="2">
        <v>4.3999999999999997E-2</v>
      </c>
    </row>
    <row r="4" spans="1:13" x14ac:dyDescent="0.25">
      <c r="A4" s="5" t="s">
        <v>14</v>
      </c>
      <c r="B4" s="2">
        <v>0.34699999999999998</v>
      </c>
      <c r="C4" s="2">
        <v>0.32200000000000001</v>
      </c>
      <c r="D4" s="2">
        <v>0.33700000000000002</v>
      </c>
      <c r="E4" s="2">
        <v>0.19400000000000001</v>
      </c>
      <c r="F4" s="2">
        <v>0.155</v>
      </c>
      <c r="G4" s="2">
        <v>0.155</v>
      </c>
      <c r="H4" s="2">
        <v>4.3999999999999997E-2</v>
      </c>
      <c r="I4" s="2">
        <v>5.2999999999999999E-2</v>
      </c>
      <c r="J4" s="2">
        <v>5.5E-2</v>
      </c>
      <c r="K4" s="2">
        <v>4.4999999999999998E-2</v>
      </c>
      <c r="L4" s="2">
        <v>4.4999999999999998E-2</v>
      </c>
      <c r="M4" s="2">
        <v>4.5999999999999999E-2</v>
      </c>
    </row>
    <row r="5" spans="1:13" x14ac:dyDescent="0.25">
      <c r="A5" s="5" t="s">
        <v>15</v>
      </c>
      <c r="B5" s="2">
        <v>0.64700000000000002</v>
      </c>
      <c r="C5" s="2">
        <v>0.56899999999999995</v>
      </c>
      <c r="D5" s="2">
        <v>0.59699999999999998</v>
      </c>
      <c r="E5" s="2">
        <v>0.64200000000000002</v>
      </c>
      <c r="F5" s="2">
        <v>0.626</v>
      </c>
      <c r="G5" s="2">
        <v>0.58399999999999996</v>
      </c>
      <c r="H5" s="2">
        <v>4.4999999999999998E-2</v>
      </c>
      <c r="I5" s="2">
        <v>4.4999999999999998E-2</v>
      </c>
      <c r="J5" s="2">
        <v>4.3999999999999997E-2</v>
      </c>
      <c r="K5" s="2">
        <v>4.4999999999999998E-2</v>
      </c>
      <c r="L5" s="2">
        <v>4.4999999999999998E-2</v>
      </c>
      <c r="M5" s="2">
        <v>4.3999999999999997E-2</v>
      </c>
    </row>
    <row r="6" spans="1:13" x14ac:dyDescent="0.25">
      <c r="A6" s="5" t="s">
        <v>16</v>
      </c>
      <c r="B6" s="2">
        <v>1.0109999999999999</v>
      </c>
      <c r="C6" s="2">
        <v>1.097</v>
      </c>
      <c r="D6" s="2">
        <v>0.97899999999999998</v>
      </c>
      <c r="E6" s="2">
        <v>0.309</v>
      </c>
      <c r="F6" s="2">
        <v>0.28699999999999998</v>
      </c>
      <c r="G6" s="2">
        <v>0.26900000000000002</v>
      </c>
      <c r="H6" s="2">
        <v>4.4999999999999998E-2</v>
      </c>
      <c r="I6" s="2">
        <v>4.3999999999999997E-2</v>
      </c>
      <c r="J6" s="2">
        <v>4.4999999999999998E-2</v>
      </c>
      <c r="K6" s="2">
        <v>4.4999999999999998E-2</v>
      </c>
      <c r="L6" s="2">
        <v>4.4999999999999998E-2</v>
      </c>
      <c r="M6" s="2">
        <v>4.4999999999999998E-2</v>
      </c>
    </row>
    <row r="7" spans="1:13" x14ac:dyDescent="0.25">
      <c r="A7" s="5" t="s">
        <v>17</v>
      </c>
      <c r="B7" s="2">
        <v>1.6990000000000001</v>
      </c>
      <c r="C7" s="2">
        <v>1.548</v>
      </c>
      <c r="D7" s="2">
        <v>1.8160000000000001</v>
      </c>
      <c r="E7" s="2">
        <v>0.32700000000000001</v>
      </c>
      <c r="F7" s="2">
        <v>0.28100000000000003</v>
      </c>
      <c r="G7" s="2">
        <v>0.28499999999999998</v>
      </c>
      <c r="H7" s="2">
        <v>4.4999999999999998E-2</v>
      </c>
      <c r="I7" s="2">
        <v>4.3999999999999997E-2</v>
      </c>
      <c r="J7" s="2">
        <v>4.3999999999999997E-2</v>
      </c>
      <c r="K7" s="2">
        <v>4.4999999999999998E-2</v>
      </c>
      <c r="L7" s="2">
        <v>4.4999999999999998E-2</v>
      </c>
      <c r="M7" s="2">
        <v>4.3999999999999997E-2</v>
      </c>
    </row>
    <row r="8" spans="1:13" x14ac:dyDescent="0.25">
      <c r="A8" s="5" t="s">
        <v>18</v>
      </c>
      <c r="B8" s="2">
        <v>1.7909999999999999</v>
      </c>
      <c r="C8" s="2">
        <v>1.591</v>
      </c>
      <c r="D8" s="2">
        <v>1.631</v>
      </c>
      <c r="E8" s="2">
        <v>0.187</v>
      </c>
      <c r="F8" s="2">
        <v>0.23799999999999999</v>
      </c>
      <c r="G8" s="2">
        <v>0.23</v>
      </c>
      <c r="H8" s="2">
        <v>4.3999999999999997E-2</v>
      </c>
      <c r="I8" s="2">
        <v>4.4999999999999998E-2</v>
      </c>
      <c r="J8" s="2">
        <v>4.3999999999999997E-2</v>
      </c>
      <c r="K8" s="2">
        <v>4.4999999999999998E-2</v>
      </c>
      <c r="L8" s="2">
        <v>4.4999999999999998E-2</v>
      </c>
      <c r="M8" s="2">
        <v>4.3999999999999997E-2</v>
      </c>
    </row>
    <row r="9" spans="1:13" x14ac:dyDescent="0.25">
      <c r="A9" s="5" t="s">
        <v>19</v>
      </c>
      <c r="B9" s="2">
        <v>1.6930000000000001</v>
      </c>
      <c r="C9" s="2">
        <v>1.694</v>
      </c>
      <c r="D9" s="2">
        <v>1.661</v>
      </c>
      <c r="E9" s="2">
        <v>0.65900000000000003</v>
      </c>
      <c r="F9" s="2">
        <v>0.72399999999999998</v>
      </c>
      <c r="G9" s="2">
        <v>0.77200000000000002</v>
      </c>
      <c r="H9" s="2">
        <v>4.3999999999999997E-2</v>
      </c>
      <c r="I9" s="2">
        <v>4.4999999999999998E-2</v>
      </c>
      <c r="J9" s="2">
        <v>4.5999999999999999E-2</v>
      </c>
      <c r="K9" s="2">
        <v>4.4999999999999998E-2</v>
      </c>
      <c r="L9" s="2">
        <v>4.4999999999999998E-2</v>
      </c>
      <c r="M9" s="2">
        <v>4.4999999999999998E-2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6" t="s">
        <v>21</v>
      </c>
      <c r="C12" s="6" t="s">
        <v>21</v>
      </c>
      <c r="D12" s="6" t="s">
        <v>21</v>
      </c>
      <c r="E12" s="6" t="s">
        <v>98</v>
      </c>
      <c r="F12" s="6" t="s">
        <v>98</v>
      </c>
      <c r="G12" s="6" t="s">
        <v>98</v>
      </c>
      <c r="H12" s="6"/>
      <c r="I12" s="6"/>
      <c r="J12" s="6"/>
      <c r="K12" s="6"/>
      <c r="L12" s="6"/>
      <c r="M12" s="6"/>
    </row>
    <row r="13" spans="1:13" x14ac:dyDescent="0.25">
      <c r="A13" s="5" t="s">
        <v>13</v>
      </c>
      <c r="B13" s="6" t="s">
        <v>25</v>
      </c>
      <c r="C13" s="6" t="s">
        <v>25</v>
      </c>
      <c r="D13" s="6" t="s">
        <v>25</v>
      </c>
      <c r="E13" s="6" t="s">
        <v>99</v>
      </c>
      <c r="F13" s="6" t="s">
        <v>99</v>
      </c>
      <c r="G13" s="6" t="s">
        <v>99</v>
      </c>
      <c r="H13" s="6"/>
      <c r="I13" s="6"/>
      <c r="J13" s="6"/>
      <c r="K13" s="6"/>
      <c r="L13" s="6"/>
      <c r="M13" s="6"/>
    </row>
    <row r="14" spans="1:13" x14ac:dyDescent="0.25">
      <c r="A14" s="5" t="s">
        <v>14</v>
      </c>
      <c r="B14" s="6" t="s">
        <v>29</v>
      </c>
      <c r="C14" s="6" t="s">
        <v>29</v>
      </c>
      <c r="D14" s="6" t="s">
        <v>29</v>
      </c>
      <c r="E14" s="6" t="s">
        <v>101</v>
      </c>
      <c r="F14" s="6" t="s">
        <v>101</v>
      </c>
      <c r="G14" s="6" t="s">
        <v>101</v>
      </c>
      <c r="H14" s="6"/>
      <c r="I14" s="6"/>
      <c r="J14" s="6"/>
      <c r="K14" s="6"/>
      <c r="L14" s="6"/>
      <c r="M14" s="6"/>
    </row>
    <row r="15" spans="1:13" x14ac:dyDescent="0.25">
      <c r="A15" s="5" t="s">
        <v>15</v>
      </c>
      <c r="B15" s="6" t="s">
        <v>33</v>
      </c>
      <c r="C15" s="6" t="s">
        <v>33</v>
      </c>
      <c r="D15" s="6" t="s">
        <v>33</v>
      </c>
      <c r="E15" s="6" t="s">
        <v>102</v>
      </c>
      <c r="F15" s="6" t="s">
        <v>102</v>
      </c>
      <c r="G15" s="6" t="s">
        <v>102</v>
      </c>
      <c r="H15" s="6"/>
      <c r="I15" s="6"/>
      <c r="J15" s="6"/>
      <c r="K15" s="6"/>
      <c r="L15" s="6"/>
      <c r="M15" s="6"/>
    </row>
    <row r="16" spans="1:13" x14ac:dyDescent="0.25">
      <c r="A16" s="5" t="s">
        <v>16</v>
      </c>
      <c r="B16" s="6" t="s">
        <v>37</v>
      </c>
      <c r="C16" s="6" t="s">
        <v>37</v>
      </c>
      <c r="D16" s="6" t="s">
        <v>37</v>
      </c>
      <c r="E16" s="6" t="s">
        <v>105</v>
      </c>
      <c r="F16" s="6" t="s">
        <v>105</v>
      </c>
      <c r="G16" s="6" t="s">
        <v>105</v>
      </c>
      <c r="H16" s="6"/>
      <c r="I16" s="6"/>
      <c r="J16" s="6"/>
      <c r="K16" s="6"/>
      <c r="L16" s="6"/>
      <c r="M16" s="6"/>
    </row>
    <row r="17" spans="1:13" x14ac:dyDescent="0.25">
      <c r="A17" s="5" t="s">
        <v>17</v>
      </c>
      <c r="B17" s="6" t="s">
        <v>40</v>
      </c>
      <c r="C17" s="6" t="s">
        <v>40</v>
      </c>
      <c r="D17" s="6" t="s">
        <v>40</v>
      </c>
      <c r="E17" s="6" t="s">
        <v>174</v>
      </c>
      <c r="F17" s="6" t="s">
        <v>174</v>
      </c>
      <c r="G17" s="6" t="s">
        <v>174</v>
      </c>
      <c r="H17" s="6"/>
      <c r="I17" s="6"/>
      <c r="J17" s="6"/>
      <c r="K17" s="6"/>
      <c r="L17" s="6"/>
      <c r="M17" s="6"/>
    </row>
    <row r="18" spans="1:13" x14ac:dyDescent="0.25">
      <c r="A18" s="5" t="s">
        <v>18</v>
      </c>
      <c r="B18" s="6" t="s">
        <v>44</v>
      </c>
      <c r="C18" s="6" t="s">
        <v>44</v>
      </c>
      <c r="D18" s="6" t="s">
        <v>44</v>
      </c>
      <c r="E18" s="6" t="s">
        <v>110</v>
      </c>
      <c r="F18" s="6" t="s">
        <v>110</v>
      </c>
      <c r="G18" s="6" t="s">
        <v>110</v>
      </c>
      <c r="H18" s="6"/>
      <c r="I18" s="6"/>
      <c r="J18" s="6"/>
      <c r="K18" s="6"/>
      <c r="L18" s="6"/>
      <c r="M18" s="6"/>
    </row>
    <row r="19" spans="1:13" x14ac:dyDescent="0.25">
      <c r="A19" s="5" t="s">
        <v>19</v>
      </c>
      <c r="B19" s="6" t="s">
        <v>48</v>
      </c>
      <c r="C19" s="6" t="s">
        <v>48</v>
      </c>
      <c r="D19" s="6" t="s">
        <v>48</v>
      </c>
      <c r="E19" s="6" t="s">
        <v>175</v>
      </c>
      <c r="F19" s="6" t="s">
        <v>175</v>
      </c>
      <c r="G19" s="6" t="s">
        <v>175</v>
      </c>
      <c r="H19" s="6"/>
      <c r="I19" s="6"/>
      <c r="J19" s="6"/>
      <c r="K19" s="6"/>
      <c r="L19" s="6"/>
      <c r="M19" s="6"/>
    </row>
    <row r="21" spans="1:13" ht="30" x14ac:dyDescent="0.25">
      <c r="A21" s="4" t="s">
        <v>52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/>
      <c r="I22" s="2"/>
      <c r="J22" s="2"/>
      <c r="K22" s="2"/>
      <c r="L22" s="2"/>
      <c r="M22" s="2"/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25</v>
      </c>
      <c r="F23" s="2">
        <v>25</v>
      </c>
      <c r="G23" s="2">
        <v>25</v>
      </c>
      <c r="H23" s="2"/>
      <c r="I23" s="2"/>
      <c r="J23" s="2"/>
      <c r="K23" s="2"/>
      <c r="L23" s="2"/>
      <c r="M23" s="2"/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25</v>
      </c>
      <c r="F24" s="2">
        <v>25</v>
      </c>
      <c r="G24" s="2">
        <v>25</v>
      </c>
      <c r="H24" s="2"/>
      <c r="I24" s="2"/>
      <c r="J24" s="2"/>
      <c r="K24" s="2"/>
      <c r="L24" s="2"/>
      <c r="M24" s="2"/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25</v>
      </c>
      <c r="F25" s="2">
        <v>25</v>
      </c>
      <c r="G25" s="2">
        <v>25</v>
      </c>
      <c r="H25" s="2"/>
      <c r="I25" s="2"/>
      <c r="J25" s="2"/>
      <c r="K25" s="2"/>
      <c r="L25" s="2"/>
      <c r="M25" s="2"/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25</v>
      </c>
      <c r="F26" s="2">
        <v>25</v>
      </c>
      <c r="G26" s="2">
        <v>25</v>
      </c>
      <c r="H26" s="2"/>
      <c r="I26" s="2"/>
      <c r="J26" s="2"/>
      <c r="K26" s="2"/>
      <c r="L26" s="2"/>
      <c r="M26" s="2"/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25</v>
      </c>
      <c r="F27" s="2">
        <v>25</v>
      </c>
      <c r="G27" s="2">
        <v>25</v>
      </c>
      <c r="H27" s="2"/>
      <c r="I27" s="2"/>
      <c r="J27" s="2"/>
      <c r="K27" s="2"/>
      <c r="L27" s="2"/>
      <c r="M27" s="2"/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25</v>
      </c>
      <c r="F28" s="2">
        <v>25</v>
      </c>
      <c r="G28" s="2">
        <v>25</v>
      </c>
      <c r="H28" s="2"/>
      <c r="I28" s="2"/>
      <c r="J28" s="2"/>
      <c r="K28" s="2"/>
      <c r="L28" s="2"/>
      <c r="M28" s="2"/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25</v>
      </c>
      <c r="F29" s="2">
        <v>25</v>
      </c>
      <c r="G29" s="2">
        <v>25</v>
      </c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Plate1</vt:lpstr>
      <vt:lpstr>Plate2</vt:lpstr>
      <vt:lpstr>Plate3</vt:lpstr>
      <vt:lpstr>Plate4</vt:lpstr>
      <vt:lpstr>Plate5</vt:lpstr>
      <vt:lpstr>Plate6</vt:lpstr>
      <vt:lpstr>Plate7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2023-11-11T18:36:31Z</dcterms:created>
  <dcterms:modified xsi:type="dcterms:W3CDTF">2023-11-11T20:58:01Z</dcterms:modified>
</cp:coreProperties>
</file>