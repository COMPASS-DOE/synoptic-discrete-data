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MicroPlate Data\Sulfide\Data\2023\"/>
    </mc:Choice>
  </mc:AlternateContent>
  <xr:revisionPtr revIDLastSave="0" documentId="13_ncr:1_{A63D3E15-8132-4551-98B9-0EBDF9BE3755}" xr6:coauthVersionLast="47" xr6:coauthVersionMax="47" xr10:uidLastSave="{00000000-0000-0000-0000-000000000000}"/>
  <bookViews>
    <workbookView xWindow="-120" yWindow="-120" windowWidth="21840" windowHeight="13140" activeTab="7" xr2:uid="{A60E639B-7155-4C88-BB66-A5E53F626C33}"/>
  </bookViews>
  <sheets>
    <sheet name="STDs" sheetId="2" r:id="rId1"/>
    <sheet name="Plate 1" sheetId="1" r:id="rId2"/>
    <sheet name="Plate 2" sheetId="3" r:id="rId3"/>
    <sheet name="Plate 3" sheetId="4" r:id="rId4"/>
    <sheet name="Plate 4" sheetId="5" r:id="rId5"/>
    <sheet name="Plate 5" sheetId="6" r:id="rId6"/>
    <sheet name="Plate 6" sheetId="7" r:id="rId7"/>
    <sheet name="Plate 7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2" l="1"/>
  <c r="B77" i="2"/>
  <c r="B76" i="2"/>
  <c r="B75" i="2"/>
  <c r="B74" i="2"/>
  <c r="B73" i="2"/>
  <c r="B72" i="2"/>
  <c r="B71" i="2"/>
  <c r="B52" i="2"/>
  <c r="B51" i="2"/>
  <c r="B43" i="2"/>
  <c r="B28" i="2"/>
  <c r="B65" i="2"/>
  <c r="B64" i="2"/>
  <c r="B63" i="2"/>
  <c r="B62" i="2"/>
  <c r="B61" i="2"/>
  <c r="B60" i="2"/>
  <c r="B59" i="2"/>
  <c r="B58" i="2"/>
  <c r="B54" i="2"/>
  <c r="B53" i="2"/>
  <c r="B50" i="2"/>
  <c r="B49" i="2"/>
  <c r="B48" i="2"/>
  <c r="B47" i="2"/>
  <c r="B42" i="2"/>
  <c r="B41" i="2"/>
  <c r="B40" i="2"/>
  <c r="B39" i="2"/>
  <c r="B38" i="2"/>
  <c r="B37" i="2"/>
  <c r="B36" i="2"/>
  <c r="B32" i="2"/>
  <c r="B31" i="2"/>
  <c r="B30" i="2"/>
  <c r="B29" i="2"/>
  <c r="B27" i="2"/>
  <c r="B26" i="2"/>
  <c r="B25" i="2"/>
  <c r="B21" i="2"/>
  <c r="B20" i="2"/>
  <c r="B19" i="2"/>
  <c r="B18" i="2"/>
  <c r="B17" i="2"/>
  <c r="B16" i="2"/>
  <c r="B15" i="2"/>
  <c r="B14" i="2"/>
  <c r="B9" i="2"/>
  <c r="B10" i="2"/>
  <c r="B4" i="2"/>
  <c r="B5" i="2"/>
  <c r="B6" i="2"/>
  <c r="B7" i="2"/>
  <c r="B8" i="2"/>
  <c r="B3" i="2"/>
</calcChain>
</file>

<file path=xl/sharedStrings.xml><?xml version="1.0" encoding="utf-8"?>
<sst xmlns="http://schemas.openxmlformats.org/spreadsheetml/2006/main" count="903" uniqueCount="189">
  <si>
    <t xml:space="preserve">Plate 1 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</si>
  <si>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</si>
  <si>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</si>
  <si>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</si>
  <si>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</si>
  <si>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</si>
  <si>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</si>
  <si>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</si>
  <si>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</si>
  <si>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</si>
  <si>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</si>
  <si>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A</t>
  </si>
  <si>
    <t>B</t>
  </si>
  <si>
    <t>C</t>
  </si>
  <si>
    <t>D</t>
  </si>
  <si>
    <t>E</t>
  </si>
  <si>
    <t>F</t>
  </si>
  <si>
    <t>G</t>
  </si>
  <si>
    <t>H</t>
  </si>
  <si>
    <t>Plate 7</t>
  </si>
  <si>
    <t>IDs</t>
  </si>
  <si>
    <t>Dilutions</t>
  </si>
  <si>
    <t>Std 0</t>
  </si>
  <si>
    <t>Std 1</t>
  </si>
  <si>
    <t>Std 2</t>
  </si>
  <si>
    <t>Std 3</t>
  </si>
  <si>
    <t>Std 4</t>
  </si>
  <si>
    <t>Std 5</t>
  </si>
  <si>
    <t>MC: 10ppt</t>
  </si>
  <si>
    <t>MC: 20ppt</t>
  </si>
  <si>
    <t>GCW_UP_LysA_20cm</t>
  </si>
  <si>
    <t>GCW_UP_LysB_20cm</t>
  </si>
  <si>
    <t>GCW_UP_LysC_20cm</t>
  </si>
  <si>
    <t>GCW_UP_LysB_10cm</t>
  </si>
  <si>
    <t>GCW_UP_LysC_10cm</t>
  </si>
  <si>
    <t>GCW_TR_LysA_20cm</t>
  </si>
  <si>
    <t>GCW_TR_LysA_45cm</t>
  </si>
  <si>
    <t>GCW_TR_LysB_10cm</t>
  </si>
  <si>
    <t>GCW_TR_LysB_20cm</t>
  </si>
  <si>
    <t>GCW_TR_LysB_45cm</t>
  </si>
  <si>
    <t>GCW_TR_LysC_10cm</t>
  </si>
  <si>
    <t>GCW_TR_LysC_20cm</t>
  </si>
  <si>
    <t>GCW_TR_LysC_45cm</t>
  </si>
  <si>
    <t>GCW_TR_LysC_45cm_dup</t>
  </si>
  <si>
    <t>GCW_WC_LysA_10cm</t>
  </si>
  <si>
    <t>GCW_WC_LysA_20cm</t>
  </si>
  <si>
    <t>GCW_WC_LysA_45cm</t>
  </si>
  <si>
    <t>GCW_WC_LysB_10cm</t>
  </si>
  <si>
    <t>GCW_WC_LysB_20cm</t>
  </si>
  <si>
    <t>GCW_WC_LysB_45cm</t>
  </si>
  <si>
    <t>GCW_WC_LysC_10cm</t>
  </si>
  <si>
    <t>GCW_WC_LysC_20cm</t>
  </si>
  <si>
    <t>GCW_WC_LysC_45cm</t>
  </si>
  <si>
    <t>GCW_SW_A</t>
  </si>
  <si>
    <t>GCW_SW_B</t>
  </si>
  <si>
    <t>GCW_SW_C</t>
  </si>
  <si>
    <t>GWI_UP_LysA_10cm</t>
  </si>
  <si>
    <t>GWI_UP_LysA_20cm</t>
  </si>
  <si>
    <t>GWI_UP_LysA_45cm</t>
  </si>
  <si>
    <t>GWI_UP_LysB_10cm</t>
  </si>
  <si>
    <t>GWI_UP_LysB_20cm</t>
  </si>
  <si>
    <t>GWI_UP_LysB_45cm</t>
  </si>
  <si>
    <t>GWI_UP_LysC_10cm</t>
  </si>
  <si>
    <t>GWI_UP_LysC_20cm</t>
  </si>
  <si>
    <t>GWI_TR_LysA_10cm</t>
  </si>
  <si>
    <t>GWI_TR_LysA_20cm</t>
  </si>
  <si>
    <t>GWI_TR_LysA_20cm_dup</t>
  </si>
  <si>
    <t>GWI_TR_LysA_45cm</t>
  </si>
  <si>
    <t>GWI_TR_LysA_45cm_spk</t>
  </si>
  <si>
    <t>GWI_TR_LysB_10cm</t>
  </si>
  <si>
    <t>GWI_TR_LysC_10cm</t>
  </si>
  <si>
    <t>GWI_TR_LysB_20cm</t>
  </si>
  <si>
    <t>GWI_TR_LysB_45cm</t>
  </si>
  <si>
    <t>GWI_TR_LysC_20cm</t>
  </si>
  <si>
    <t>GWI_TR_LysC_45cm</t>
  </si>
  <si>
    <t>GWI_WC_LysA_10cm</t>
  </si>
  <si>
    <t>GWI_WC_LysA_20cm</t>
  </si>
  <si>
    <t>GWI_WC_LysB_10cm</t>
  </si>
  <si>
    <t>GWI_WC_LysB_20cm</t>
  </si>
  <si>
    <t>GWI_WC_LysB_45cm</t>
  </si>
  <si>
    <t>GWI_WC_LysC_10cm</t>
  </si>
  <si>
    <t>GWI_WC_LysC_20cm</t>
  </si>
  <si>
    <t>GWI_WC_LysA_45cm</t>
  </si>
  <si>
    <t>GWI_SW_A</t>
  </si>
  <si>
    <t>GWI_SW_B</t>
  </si>
  <si>
    <t>GWI_SW_C</t>
  </si>
  <si>
    <t>SWH_UPCON_LysA_10cm</t>
  </si>
  <si>
    <t>SWH_UPCON_LysA_20cm</t>
  </si>
  <si>
    <t>SWH_UPCON_LysA_45cm</t>
  </si>
  <si>
    <t>SWH_UPCON_LysB_10cm</t>
  </si>
  <si>
    <t>SWH_UPCON_LysB_20cm</t>
  </si>
  <si>
    <t>SWH_UPCON_LysB_10cm_dup</t>
  </si>
  <si>
    <t>SWH_UPCON_LysB_20cm_spk</t>
  </si>
  <si>
    <t>SHW_UPCON_LysB_45cm</t>
  </si>
  <si>
    <t>SWH_UPCON_LysC_10cm</t>
  </si>
  <si>
    <t>SWH_UPCON_LysC_20cm</t>
  </si>
  <si>
    <t>SWH_UPCON_LysC_45cm</t>
  </si>
  <si>
    <t>SWH_UP_LysA_10cm</t>
  </si>
  <si>
    <t>SWH_UP_LysA_20cm</t>
  </si>
  <si>
    <t>SWH_UP_LysA_45cm</t>
  </si>
  <si>
    <t>SWH_UP_LysB_10cm</t>
  </si>
  <si>
    <t>SWH_UP_LysB_20cm</t>
  </si>
  <si>
    <t>SWH_UP_LysB_45cm</t>
  </si>
  <si>
    <t>SWH_UP_LysC_20cm</t>
  </si>
  <si>
    <t>SWH_UP_LysC_10cm</t>
  </si>
  <si>
    <t>SWH_UP_LysC_45cm</t>
  </si>
  <si>
    <t>SWH_TR_LysA_10cm</t>
  </si>
  <si>
    <t>SWH_TR_LysA_20cm</t>
  </si>
  <si>
    <t>SWH_TR_LysA_45cm</t>
  </si>
  <si>
    <t>SWH_TR_LysB_10cm</t>
  </si>
  <si>
    <t>SWH_TR_LysC_10cm</t>
  </si>
  <si>
    <t>SWH_TR_LysB_20cm</t>
  </si>
  <si>
    <t>SWH_TR_LysB_45cm</t>
  </si>
  <si>
    <t>SWH_TR_LysC_20cm</t>
  </si>
  <si>
    <t>SWH_TR_LysC_20cm_dup</t>
  </si>
  <si>
    <t>SWH_TR_LysC_45cm</t>
  </si>
  <si>
    <t>SWH_TR_LysC_45cm_spk</t>
  </si>
  <si>
    <t>SWH_WC_LysA_10cm</t>
  </si>
  <si>
    <t>SWH_WC_LysB_20cm</t>
  </si>
  <si>
    <t>SWH_WC_LysC_45cm</t>
  </si>
  <si>
    <t>SWH_WC_LysA_20cm</t>
  </si>
  <si>
    <t>SWH_WC_LysA_45cm</t>
  </si>
  <si>
    <t>SWH_WC_LysB_10cm</t>
  </si>
  <si>
    <t>SWH_WC_LysB_45cm</t>
  </si>
  <si>
    <t>SWH_WC_LysC_10cm</t>
  </si>
  <si>
    <t>SWH_WC_LysC_20cm</t>
  </si>
  <si>
    <t>SWH_SW_A</t>
  </si>
  <si>
    <t>SWH_SW_B</t>
  </si>
  <si>
    <t>SWH_SW_C</t>
  </si>
  <si>
    <t>MSM_UP_LysA_20cm</t>
  </si>
  <si>
    <t>MSM_UP_LysA_45cm</t>
  </si>
  <si>
    <t>MSM_UP_LysB_10cm</t>
  </si>
  <si>
    <t>MSM_UP_LysB_20cm</t>
  </si>
  <si>
    <t>MSM_UP_LysB_45cm</t>
  </si>
  <si>
    <t>MSM_UP_LysC_10cm</t>
  </si>
  <si>
    <t>MSM_UP_LysC_20cm</t>
  </si>
  <si>
    <t>MSM_TR_LysA_10cm</t>
  </si>
  <si>
    <t>MSM_TR_LysA_10cm_dup</t>
  </si>
  <si>
    <t>MSM_UP_LysC_45cm</t>
  </si>
  <si>
    <t>MSM_TR_LysA_20cm</t>
  </si>
  <si>
    <t>MSM_TR_LysA_20cm_spk</t>
  </si>
  <si>
    <t>MSM_TR_LysA_45cm</t>
  </si>
  <si>
    <t>MSM_TR_LysB_10cm</t>
  </si>
  <si>
    <t>MSM_TR_LysC_20cm</t>
  </si>
  <si>
    <t>MSM_TR_LysB_20cm</t>
  </si>
  <si>
    <t>MSM_TR_LysB_45cm</t>
  </si>
  <si>
    <t>MSM_TR_LysC_10cm</t>
  </si>
  <si>
    <t>MSM_TR_LysC_45cm</t>
  </si>
  <si>
    <t>MSM_WC_LysA_10cm</t>
  </si>
  <si>
    <t>MSM_WC_LysA_20cm</t>
  </si>
  <si>
    <t>MSM_WC_LysB_20cm</t>
  </si>
  <si>
    <t>MSM_WC_LysC_20cm</t>
  </si>
  <si>
    <t>MSM_WC_LysA_45cm</t>
  </si>
  <si>
    <t>MSM_WC_LysB_10cm</t>
  </si>
  <si>
    <t>MSM_WC_LysB_45cm</t>
  </si>
  <si>
    <t>MSM_WC_LysC_10cm</t>
  </si>
  <si>
    <t>MSM_WC_LysC_45cm</t>
  </si>
  <si>
    <t>MSM_SW_A</t>
  </si>
  <si>
    <t>MSM_SW_B</t>
  </si>
  <si>
    <t>MSM_SW_C</t>
  </si>
  <si>
    <t>MSM_RHZ_UP_SF1</t>
  </si>
  <si>
    <t>MSM_RHZ_UP_SF2</t>
  </si>
  <si>
    <t>MSM_RHZ_UP_SF3</t>
  </si>
  <si>
    <t>MSM_RHZ_UP_SF3_spk</t>
  </si>
  <si>
    <t>MSM_RHZ_UP_SF2_dup</t>
  </si>
  <si>
    <t>MSM_RHZ_UP_SF4</t>
  </si>
  <si>
    <t>MSM_RHZ_UP_SF5</t>
  </si>
  <si>
    <t>MSM_RHZ_UP_SF6</t>
  </si>
  <si>
    <t>MSM_RHZ_UP_SF7</t>
  </si>
  <si>
    <t>MSM_RHZ_UP_SF8</t>
  </si>
  <si>
    <t>MSM_RHZ_TR_SF1</t>
  </si>
  <si>
    <t>MSM_RHZ_TR_SF2</t>
  </si>
  <si>
    <t>MSM_RHZ_TR_SF3</t>
  </si>
  <si>
    <t>MSM_RHZ_TR_SF4</t>
  </si>
  <si>
    <t>MSM_RHZ_TR_SF5</t>
  </si>
  <si>
    <t>MSM_RHZ_TR_SF6</t>
  </si>
  <si>
    <t>MSM_RHZ_TR_SF7</t>
  </si>
  <si>
    <t>MSM_RHZ_TR_SF8</t>
  </si>
  <si>
    <t>MSM_RHZ_WC_SipA</t>
  </si>
  <si>
    <t>MSM_RHZ_WC_SipB</t>
  </si>
  <si>
    <t>MSM_RHZ_WC_SipC</t>
  </si>
  <si>
    <t>MSM_RHZ_WC_Col1</t>
  </si>
  <si>
    <t>MSM_RHZ_WC_Col2</t>
  </si>
  <si>
    <t>MSM_RHZ_WC_Col3</t>
  </si>
  <si>
    <t>MSM_RHZ_WC_Col4</t>
  </si>
  <si>
    <t>MSM_RHZ_WC_Col5</t>
  </si>
  <si>
    <t>MSM_RHZ_WC_Col5_dup</t>
  </si>
  <si>
    <t>GWI_TR_LysB_20cm_spk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</si>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</sst>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96342957130359"/>
                  <c:y val="0.313923057307056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STDs!$B$3:$B$10</c:f>
              <c:numCache>
                <c:formatCode>General</c:formatCode>
                <c:ptCount val="8"/>
                <c:pt idx="0">
                  <c:v>5.2333333333333336E-2</c:v>
                </c:pt>
                <c:pt idx="1">
                  <c:v>0.14200000000000002</c:v>
                </c:pt>
                <c:pt idx="2">
                  <c:v>0.25366666666666665</c:v>
                </c:pt>
                <c:pt idx="3">
                  <c:v>0.4936666666666667</c:v>
                </c:pt>
                <c:pt idx="4">
                  <c:v>0.82066666666666677</c:v>
                </c:pt>
                <c:pt idx="5">
                  <c:v>1.3466666666666667</c:v>
                </c:pt>
                <c:pt idx="6">
                  <c:v>1.4873333333333332</c:v>
                </c:pt>
                <c:pt idx="7">
                  <c:v>1.4813333333333334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A-4D55-A9C1-830CF5089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378176"/>
        <c:axId val="384379160"/>
      </c:scatterChart>
      <c:valAx>
        <c:axId val="38437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79160"/>
        <c:crosses val="autoZero"/>
        <c:crossBetween val="midCat"/>
      </c:valAx>
      <c:valAx>
        <c:axId val="38437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7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270105201427478"/>
                  <c:y val="0.294052028198731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STDs!$B$14:$B$21</c:f>
              <c:numCache>
                <c:formatCode>General</c:formatCode>
                <c:ptCount val="8"/>
                <c:pt idx="0">
                  <c:v>4.9000000000000009E-2</c:v>
                </c:pt>
                <c:pt idx="1">
                  <c:v>0.13900000000000001</c:v>
                </c:pt>
                <c:pt idx="2">
                  <c:v>0.26966666666666667</c:v>
                </c:pt>
                <c:pt idx="3">
                  <c:v>0.51233333333333331</c:v>
                </c:pt>
                <c:pt idx="4">
                  <c:v>0.8879999999999999</c:v>
                </c:pt>
                <c:pt idx="5">
                  <c:v>1.4339999999999999</c:v>
                </c:pt>
                <c:pt idx="6">
                  <c:v>1.4179999999999999</c:v>
                </c:pt>
                <c:pt idx="7">
                  <c:v>1.498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8-4367-A888-CAC1F73D0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32824"/>
        <c:axId val="481632168"/>
      </c:scatterChart>
      <c:valAx>
        <c:axId val="48163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32168"/>
        <c:crosses val="autoZero"/>
        <c:crossBetween val="midCat"/>
      </c:valAx>
      <c:valAx>
        <c:axId val="48163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32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99625859775657"/>
                  <c:y val="0.219804382906909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5.3999999999999992E-2</c:v>
                </c:pt>
                <c:pt idx="1">
                  <c:v>0.13366666666666668</c:v>
                </c:pt>
                <c:pt idx="2">
                  <c:v>0.27066666666666667</c:v>
                </c:pt>
                <c:pt idx="3">
                  <c:v>0.54549999999999998</c:v>
                </c:pt>
                <c:pt idx="4">
                  <c:v>0.80200000000000005</c:v>
                </c:pt>
                <c:pt idx="5">
                  <c:v>1.4016666666666666</c:v>
                </c:pt>
                <c:pt idx="6">
                  <c:v>1.3836666666666666</c:v>
                </c:pt>
                <c:pt idx="7">
                  <c:v>1.3650000000000002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A-4B89-89A8-0A2B17152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02184"/>
        <c:axId val="191795624"/>
      </c:scatterChart>
      <c:valAx>
        <c:axId val="191802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5624"/>
        <c:crosses val="autoZero"/>
        <c:crossBetween val="midCat"/>
      </c:valAx>
      <c:valAx>
        <c:axId val="19179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02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178260775746397E-2"/>
                  <c:y val="0.256455389556151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5.2333333333333343E-2</c:v>
                </c:pt>
                <c:pt idx="1">
                  <c:v>0.13966666666666666</c:v>
                </c:pt>
                <c:pt idx="2">
                  <c:v>0.26766666666666666</c:v>
                </c:pt>
                <c:pt idx="3">
                  <c:v>0.50166666666666671</c:v>
                </c:pt>
                <c:pt idx="4">
                  <c:v>0.77766666666666662</c:v>
                </c:pt>
                <c:pt idx="5">
                  <c:v>1.3326666666666667</c:v>
                </c:pt>
                <c:pt idx="6">
                  <c:v>1.4326666666666668</c:v>
                </c:pt>
                <c:pt idx="7">
                  <c:v>1.5095000000000001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D-46A2-A558-BB5DF7F23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227976"/>
        <c:axId val="532228960"/>
      </c:scatterChart>
      <c:valAx>
        <c:axId val="53222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28960"/>
        <c:crosses val="autoZero"/>
        <c:crossBetween val="midCat"/>
      </c:valAx>
      <c:valAx>
        <c:axId val="53222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27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400930754368104E-2"/>
                  <c:y val="0.257876344617632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5.0999999999999997E-2</c:v>
                </c:pt>
                <c:pt idx="1">
                  <c:v>0.14200000000000002</c:v>
                </c:pt>
                <c:pt idx="2">
                  <c:v>0.27</c:v>
                </c:pt>
                <c:pt idx="3">
                  <c:v>0.48</c:v>
                </c:pt>
                <c:pt idx="4">
                  <c:v>0.84799999999999998</c:v>
                </c:pt>
                <c:pt idx="5">
                  <c:v>1.4420000000000002</c:v>
                </c:pt>
                <c:pt idx="6">
                  <c:v>1.3220000000000001</c:v>
                </c:pt>
                <c:pt idx="7">
                  <c:v>1.3443333333333332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3E-47D5-AB94-F40A3CE87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426488"/>
        <c:axId val="596426816"/>
      </c:scatterChart>
      <c:valAx>
        <c:axId val="59642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26816"/>
        <c:crosses val="autoZero"/>
        <c:crossBetween val="midCat"/>
      </c:valAx>
      <c:valAx>
        <c:axId val="5964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26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678021827012417E-2"/>
                  <c:y val="0.277876338102605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STDs!$B$58:$B$65</c:f>
              <c:numCache>
                <c:formatCode>General</c:formatCode>
                <c:ptCount val="8"/>
                <c:pt idx="0">
                  <c:v>5.6666666666666664E-2</c:v>
                </c:pt>
                <c:pt idx="1">
                  <c:v>0.13266666666666668</c:v>
                </c:pt>
                <c:pt idx="2">
                  <c:v>0.26533333333333337</c:v>
                </c:pt>
                <c:pt idx="3">
                  <c:v>0.51433333333333342</c:v>
                </c:pt>
                <c:pt idx="4">
                  <c:v>0.84</c:v>
                </c:pt>
                <c:pt idx="5">
                  <c:v>1.4916666666666665</c:v>
                </c:pt>
                <c:pt idx="6">
                  <c:v>1.4503333333333333</c:v>
                </c:pt>
                <c:pt idx="7">
                  <c:v>1.492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7-4547-9E8C-26CE9183D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765016"/>
        <c:axId val="596427144"/>
      </c:scatterChart>
      <c:valAx>
        <c:axId val="474765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27144"/>
        <c:crosses val="autoZero"/>
        <c:crossBetween val="midCat"/>
      </c:valAx>
      <c:valAx>
        <c:axId val="59642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65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</a:t>
            </a:r>
            <a:r>
              <a:rPr lang="en-US" baseline="0"/>
              <a:t> 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852229678186779E-2"/>
                  <c:y val="0.249962016953810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STDs!$A$70:$A$77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STDs!$B$70:$B$77</c:f>
              <c:numCache>
                <c:formatCode>General</c:formatCode>
                <c:ptCount val="8"/>
                <c:pt idx="0">
                  <c:v>5.1999999999999998E-2</c:v>
                </c:pt>
                <c:pt idx="1">
                  <c:v>0.12766666666666668</c:v>
                </c:pt>
                <c:pt idx="2">
                  <c:v>0.27699999999999997</c:v>
                </c:pt>
                <c:pt idx="3">
                  <c:v>0.53100000000000003</c:v>
                </c:pt>
                <c:pt idx="4">
                  <c:v>0.878</c:v>
                </c:pt>
                <c:pt idx="5">
                  <c:v>1.482</c:v>
                </c:pt>
                <c:pt idx="6">
                  <c:v>1.4483333333333333</c:v>
                </c:pt>
                <c:pt idx="7">
                  <c:v>1.4909999999999999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5-467A-843E-08C0609A5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023264"/>
        <c:axId val="452024904"/>
      </c:scatterChart>
      <c:valAx>
        <c:axId val="45202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24904"/>
        <c:crosses val="autoZero"/>
        <c:crossBetween val="midCat"/>
      </c:valAx>
      <c:valAx>
        <c:axId val="45202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2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42862</xdr:rowOff>
    </xdr:from>
    <xdr:to>
      <xdr:col>11</xdr:col>
      <xdr:colOff>47625</xdr:colOff>
      <xdr:row>10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B96EC-7703-A547-8499-DD38A81F6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12</xdr:row>
      <xdr:rowOff>23813</xdr:rowOff>
    </xdr:from>
    <xdr:to>
      <xdr:col>11</xdr:col>
      <xdr:colOff>28575</xdr:colOff>
      <xdr:row>21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FF4F5-B8B7-D518-DFEF-CE4244B72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295275</xdr:colOff>
      <xdr:row>23</xdr:row>
      <xdr:rowOff>14287</xdr:rowOff>
    </xdr:from>
    <xdr:to>
      <xdr:col>11</xdr:col>
      <xdr:colOff>152400</xdr:colOff>
      <xdr:row>32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48332F-6ECA-C4D0-2C6F-B48B4B92D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128587</xdr:colOff>
      <xdr:row>33</xdr:row>
      <xdr:rowOff>176212</xdr:rowOff>
    </xdr:from>
    <xdr:to>
      <xdr:col>11</xdr:col>
      <xdr:colOff>85725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121687-F093-72F4-0A16-5F0E599EB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247650</xdr:colOff>
      <xdr:row>45</xdr:row>
      <xdr:rowOff>38100</xdr:rowOff>
    </xdr:from>
    <xdr:to>
      <xdr:col>11</xdr:col>
      <xdr:colOff>200025</xdr:colOff>
      <xdr:row>54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BF8A93-A4F4-1DCF-DA4C-56349F887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309562</xdr:colOff>
      <xdr:row>55</xdr:row>
      <xdr:rowOff>71437</xdr:rowOff>
    </xdr:from>
    <xdr:to>
      <xdr:col>11</xdr:col>
      <xdr:colOff>552450</xdr:colOff>
      <xdr:row>64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6F20BB-1F7B-3A81-8E61-807C379DC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342901</xdr:colOff>
      <xdr:row>68</xdr:row>
      <xdr:rowOff>61912</xdr:rowOff>
    </xdr:from>
    <xdr:to>
      <xdr:col>11</xdr:col>
      <xdr:colOff>552451</xdr:colOff>
      <xdr:row>77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D77196-FE3C-96DB-2D50-C2356951A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7927-43F9-4306-9FDA-F7D744CBEEB3}">
  <dimension ref="A1:O77"/>
  <sheetViews>
    <sheetView topLeftCell="A7" workbookViewId="0">
      <selection activeCell="C70" sqref="C70:E77"/>
    </sheetView>
  </sheetViews>
  <sheetFormatPr defaultRowHeight="15" x14ac:dyDescent="0.25"/>
  <sheetData>
    <row r="1" spans="1:15" x14ac:dyDescent="0.25">
      <c r="A1" s="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15" x14ac:dyDescent="0.25">
      <c r="A3">
        <v>0</v>
      </c>
      <c r="B3">
        <f>AVERAGE(C3:E3)</f>
        <v>5.2333333333333336E-2</v>
      </c>
      <c r="C3" s="4">
        <v>5.1999999999999998E-2</v>
      </c>
      <c r="D3" s="4">
        <v>0.05</v>
      </c>
      <c r="E3" s="4">
        <v>5.5E-2</v>
      </c>
    </row>
    <row r="4" spans="1:15" x14ac:dyDescent="0.25">
      <c r="A4">
        <v>5</v>
      </c>
      <c r="B4">
        <f t="shared" ref="B4:B10" si="0">AVERAGE(C4:E4)</f>
        <v>0.14200000000000002</v>
      </c>
      <c r="C4" s="4">
        <v>0.13500000000000001</v>
      </c>
      <c r="D4" s="4">
        <v>0.14299999999999999</v>
      </c>
      <c r="E4" s="4">
        <v>0.14799999999999999</v>
      </c>
      <c r="O4">
        <v>0</v>
      </c>
    </row>
    <row r="5" spans="1:15" x14ac:dyDescent="0.25">
      <c r="A5">
        <v>12.5</v>
      </c>
      <c r="B5">
        <f t="shared" si="0"/>
        <v>0.25366666666666665</v>
      </c>
      <c r="C5" s="4">
        <v>0.27800000000000002</v>
      </c>
      <c r="D5" s="4">
        <v>0.22900000000000001</v>
      </c>
      <c r="E5" s="4">
        <v>0.254</v>
      </c>
    </row>
    <row r="6" spans="1:15" x14ac:dyDescent="0.25">
      <c r="A6">
        <v>25</v>
      </c>
      <c r="B6">
        <f t="shared" si="0"/>
        <v>0.4936666666666667</v>
      </c>
      <c r="C6" s="4">
        <v>0.51700000000000002</v>
      </c>
      <c r="D6" s="4">
        <v>0.51100000000000001</v>
      </c>
      <c r="E6" s="4">
        <v>0.45300000000000001</v>
      </c>
    </row>
    <row r="7" spans="1:15" x14ac:dyDescent="0.25">
      <c r="A7">
        <v>50</v>
      </c>
      <c r="B7">
        <f t="shared" si="0"/>
        <v>0.82066666666666677</v>
      </c>
      <c r="C7" s="4">
        <v>0.85399999999999998</v>
      </c>
      <c r="D7" s="4">
        <v>0.81899999999999995</v>
      </c>
      <c r="E7" s="4">
        <v>0.78900000000000003</v>
      </c>
    </row>
    <row r="8" spans="1:15" x14ac:dyDescent="0.25">
      <c r="A8">
        <v>100</v>
      </c>
      <c r="B8">
        <f t="shared" si="0"/>
        <v>1.3466666666666667</v>
      </c>
      <c r="C8" s="4">
        <v>1.419</v>
      </c>
      <c r="D8" s="4">
        <v>1.3120000000000001</v>
      </c>
      <c r="E8" s="4">
        <v>1.3089999999999999</v>
      </c>
    </row>
    <row r="9" spans="1:15" x14ac:dyDescent="0.25">
      <c r="A9">
        <v>100</v>
      </c>
      <c r="B9">
        <f t="shared" si="0"/>
        <v>1.4873333333333332</v>
      </c>
      <c r="C9" s="4">
        <v>1.361</v>
      </c>
      <c r="D9" s="4">
        <v>1.373</v>
      </c>
      <c r="E9" s="4">
        <v>1.728</v>
      </c>
    </row>
    <row r="10" spans="1:15" x14ac:dyDescent="0.25">
      <c r="A10">
        <v>100</v>
      </c>
      <c r="B10">
        <f t="shared" si="0"/>
        <v>1.4813333333333334</v>
      </c>
      <c r="C10" s="4">
        <v>1.528</v>
      </c>
      <c r="D10" s="4">
        <v>1.4830000000000001</v>
      </c>
      <c r="E10" s="4">
        <v>1.4330000000000001</v>
      </c>
    </row>
    <row r="12" spans="1:15" x14ac:dyDescent="0.25">
      <c r="A12" s="1" t="s">
        <v>6</v>
      </c>
    </row>
    <row r="13" spans="1:1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15" x14ac:dyDescent="0.25">
      <c r="A14">
        <v>0</v>
      </c>
      <c r="B14">
        <f>AVERAGE(C14:E14)</f>
        <v>4.9000000000000009E-2</v>
      </c>
      <c r="C14">
        <v>4.9000000000000002E-2</v>
      </c>
      <c r="D14">
        <v>0.05</v>
      </c>
      <c r="E14">
        <v>4.8000000000000001E-2</v>
      </c>
    </row>
    <row r="15" spans="1:15" x14ac:dyDescent="0.25">
      <c r="A15">
        <v>5</v>
      </c>
      <c r="B15">
        <f t="shared" ref="B15:B21" si="1">AVERAGE(C15:E15)</f>
        <v>0.13900000000000001</v>
      </c>
      <c r="C15">
        <v>0.151</v>
      </c>
      <c r="D15">
        <v>0.13700000000000001</v>
      </c>
      <c r="E15">
        <v>0.129</v>
      </c>
    </row>
    <row r="16" spans="1:15" x14ac:dyDescent="0.25">
      <c r="A16">
        <v>12.5</v>
      </c>
      <c r="B16">
        <f t="shared" si="1"/>
        <v>0.26966666666666667</v>
      </c>
      <c r="C16">
        <v>0.28899999999999998</v>
      </c>
      <c r="D16">
        <v>0.27300000000000002</v>
      </c>
      <c r="E16">
        <v>0.247</v>
      </c>
    </row>
    <row r="17" spans="1:5" x14ac:dyDescent="0.25">
      <c r="A17">
        <v>25</v>
      </c>
      <c r="B17">
        <f t="shared" si="1"/>
        <v>0.51233333333333331</v>
      </c>
      <c r="C17">
        <v>0.59199999999999997</v>
      </c>
      <c r="D17">
        <v>0.502</v>
      </c>
      <c r="E17">
        <v>0.443</v>
      </c>
    </row>
    <row r="18" spans="1:5" x14ac:dyDescent="0.25">
      <c r="A18">
        <v>50</v>
      </c>
      <c r="B18">
        <f t="shared" si="1"/>
        <v>0.8879999999999999</v>
      </c>
      <c r="C18">
        <v>0.91500000000000004</v>
      </c>
      <c r="D18">
        <v>0.83599999999999997</v>
      </c>
      <c r="E18">
        <v>0.91300000000000003</v>
      </c>
    </row>
    <row r="19" spans="1:5" x14ac:dyDescent="0.25">
      <c r="A19">
        <v>100</v>
      </c>
      <c r="B19">
        <f t="shared" si="1"/>
        <v>1.4339999999999999</v>
      </c>
      <c r="C19">
        <v>1.4490000000000001</v>
      </c>
      <c r="D19">
        <v>1.4730000000000001</v>
      </c>
      <c r="E19">
        <v>1.38</v>
      </c>
    </row>
    <row r="20" spans="1:5" x14ac:dyDescent="0.25">
      <c r="A20">
        <v>100</v>
      </c>
      <c r="B20">
        <f t="shared" si="1"/>
        <v>1.4179999999999999</v>
      </c>
      <c r="C20">
        <v>1.431</v>
      </c>
      <c r="D20">
        <v>1.371</v>
      </c>
      <c r="E20">
        <v>1.452</v>
      </c>
    </row>
    <row r="21" spans="1:5" x14ac:dyDescent="0.25">
      <c r="A21">
        <v>100</v>
      </c>
      <c r="B21">
        <f t="shared" si="1"/>
        <v>1.498</v>
      </c>
      <c r="C21">
        <v>1.5289999999999999</v>
      </c>
      <c r="D21">
        <v>1.536</v>
      </c>
      <c r="E21">
        <v>1.429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5.3999999999999992E-2</v>
      </c>
      <c r="C25" s="4">
        <v>5.1999999999999998E-2</v>
      </c>
      <c r="D25" s="4">
        <v>5.0999999999999997E-2</v>
      </c>
      <c r="E25" s="4">
        <v>5.8999999999999997E-2</v>
      </c>
    </row>
    <row r="26" spans="1:5" x14ac:dyDescent="0.25">
      <c r="A26">
        <v>5</v>
      </c>
      <c r="B26">
        <f t="shared" ref="B26:B32" si="2">AVERAGE(C26:E26)</f>
        <v>0.13366666666666668</v>
      </c>
      <c r="C26" s="4">
        <v>0.122</v>
      </c>
      <c r="D26" s="4">
        <v>0.154</v>
      </c>
      <c r="E26" s="4">
        <v>0.125</v>
      </c>
    </row>
    <row r="27" spans="1:5" x14ac:dyDescent="0.25">
      <c r="A27">
        <v>12.5</v>
      </c>
      <c r="B27">
        <f t="shared" si="2"/>
        <v>0.27066666666666667</v>
      </c>
      <c r="C27" s="4">
        <v>0.28699999999999998</v>
      </c>
      <c r="D27" s="4">
        <v>0.28000000000000003</v>
      </c>
      <c r="E27" s="4">
        <v>0.245</v>
      </c>
    </row>
    <row r="28" spans="1:5" x14ac:dyDescent="0.25">
      <c r="A28">
        <v>25</v>
      </c>
      <c r="B28">
        <f>AVERAGE(C28,D28)</f>
        <v>0.54549999999999998</v>
      </c>
      <c r="C28" s="4">
        <v>0.56299999999999994</v>
      </c>
      <c r="D28" s="4">
        <v>0.52800000000000002</v>
      </c>
      <c r="E28" s="4">
        <v>0.57799999999999996</v>
      </c>
    </row>
    <row r="29" spans="1:5" x14ac:dyDescent="0.25">
      <c r="A29">
        <v>50</v>
      </c>
      <c r="B29">
        <f t="shared" si="2"/>
        <v>0.80200000000000005</v>
      </c>
      <c r="C29" s="4">
        <v>0.81699999999999995</v>
      </c>
      <c r="D29" s="4">
        <v>0.82799999999999996</v>
      </c>
      <c r="E29" s="4">
        <v>0.76100000000000001</v>
      </c>
    </row>
    <row r="30" spans="1:5" x14ac:dyDescent="0.25">
      <c r="A30">
        <v>100</v>
      </c>
      <c r="B30">
        <f t="shared" si="2"/>
        <v>1.4016666666666666</v>
      </c>
      <c r="C30" s="4">
        <v>1.3069999999999999</v>
      </c>
      <c r="D30" s="4">
        <v>1.357</v>
      </c>
      <c r="E30" s="4">
        <v>1.5409999999999999</v>
      </c>
    </row>
    <row r="31" spans="1:5" x14ac:dyDescent="0.25">
      <c r="A31">
        <v>100</v>
      </c>
      <c r="B31">
        <f t="shared" si="2"/>
        <v>1.3836666666666666</v>
      </c>
      <c r="C31" s="4">
        <v>1.351</v>
      </c>
      <c r="D31" s="4">
        <v>1.427</v>
      </c>
      <c r="E31" s="4">
        <v>1.373</v>
      </c>
    </row>
    <row r="32" spans="1:5" x14ac:dyDescent="0.25">
      <c r="A32">
        <v>100</v>
      </c>
      <c r="B32">
        <f t="shared" si="2"/>
        <v>1.3650000000000002</v>
      </c>
      <c r="C32" s="4">
        <v>1.3720000000000001</v>
      </c>
      <c r="D32" s="4">
        <v>1.387</v>
      </c>
      <c r="E32" s="4">
        <v>1.3360000000000001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5.2333333333333343E-2</v>
      </c>
      <c r="C36" s="4">
        <v>0.05</v>
      </c>
      <c r="D36" s="4">
        <v>5.7000000000000002E-2</v>
      </c>
      <c r="E36" s="4">
        <v>0.05</v>
      </c>
    </row>
    <row r="37" spans="1:5" x14ac:dyDescent="0.25">
      <c r="A37">
        <v>5</v>
      </c>
      <c r="B37">
        <f t="shared" ref="B37:B42" si="3">AVERAGE(C37:E37)</f>
        <v>0.13966666666666666</v>
      </c>
      <c r="C37" s="4">
        <v>0.14899999999999999</v>
      </c>
      <c r="D37" s="4">
        <v>0.14799999999999999</v>
      </c>
      <c r="E37" s="4">
        <v>0.122</v>
      </c>
    </row>
    <row r="38" spans="1:5" x14ac:dyDescent="0.25">
      <c r="A38">
        <v>12.5</v>
      </c>
      <c r="B38">
        <f t="shared" si="3"/>
        <v>0.26766666666666666</v>
      </c>
      <c r="C38" s="4">
        <v>0.25600000000000001</v>
      </c>
      <c r="D38" s="4">
        <v>0.26800000000000002</v>
      </c>
      <c r="E38" s="4">
        <v>0.27900000000000003</v>
      </c>
    </row>
    <row r="39" spans="1:5" x14ac:dyDescent="0.25">
      <c r="A39">
        <v>25</v>
      </c>
      <c r="B39">
        <f t="shared" si="3"/>
        <v>0.50166666666666671</v>
      </c>
      <c r="C39" s="4">
        <v>0.55600000000000005</v>
      </c>
      <c r="D39" s="4">
        <v>0.48199999999999998</v>
      </c>
      <c r="E39" s="4">
        <v>0.46700000000000003</v>
      </c>
    </row>
    <row r="40" spans="1:5" x14ac:dyDescent="0.25">
      <c r="A40">
        <v>50</v>
      </c>
      <c r="B40">
        <f t="shared" si="3"/>
        <v>0.77766666666666662</v>
      </c>
      <c r="C40" s="4">
        <v>0.75700000000000001</v>
      </c>
      <c r="D40" s="4">
        <v>0.81299999999999994</v>
      </c>
      <c r="E40" s="4">
        <v>0.76300000000000001</v>
      </c>
    </row>
    <row r="41" spans="1:5" x14ac:dyDescent="0.25">
      <c r="A41">
        <v>100</v>
      </c>
      <c r="B41">
        <f t="shared" si="3"/>
        <v>1.3326666666666667</v>
      </c>
      <c r="C41" s="4">
        <v>1.5289999999999999</v>
      </c>
      <c r="D41" s="4">
        <v>1.3380000000000001</v>
      </c>
      <c r="E41" s="4">
        <v>1.131</v>
      </c>
    </row>
    <row r="42" spans="1:5" x14ac:dyDescent="0.25">
      <c r="A42">
        <v>100</v>
      </c>
      <c r="B42">
        <f t="shared" si="3"/>
        <v>1.4326666666666668</v>
      </c>
      <c r="C42" s="4">
        <v>1.341</v>
      </c>
      <c r="D42" s="4">
        <v>1.4670000000000001</v>
      </c>
      <c r="E42" s="4">
        <v>1.49</v>
      </c>
    </row>
    <row r="43" spans="1:5" x14ac:dyDescent="0.25">
      <c r="A43">
        <v>100</v>
      </c>
      <c r="B43">
        <f>AVERAGE(D43:E43)</f>
        <v>1.5095000000000001</v>
      </c>
      <c r="C43" s="4">
        <v>1.647</v>
      </c>
      <c r="D43" s="4">
        <v>1.415</v>
      </c>
      <c r="E43" s="4">
        <v>1.6040000000000001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5.0999999999999997E-2</v>
      </c>
      <c r="C47">
        <v>5.0999999999999997E-2</v>
      </c>
      <c r="D47">
        <v>5.5E-2</v>
      </c>
      <c r="E47">
        <v>4.7E-2</v>
      </c>
    </row>
    <row r="48" spans="1:5" x14ac:dyDescent="0.25">
      <c r="A48">
        <v>5</v>
      </c>
      <c r="B48">
        <f t="shared" ref="B48:B54" si="4">AVERAGE(C48:E48)</f>
        <v>0.14200000000000002</v>
      </c>
      <c r="C48">
        <v>0.16</v>
      </c>
      <c r="D48">
        <v>0.13700000000000001</v>
      </c>
      <c r="E48">
        <v>0.129</v>
      </c>
    </row>
    <row r="49" spans="1:5" x14ac:dyDescent="0.25">
      <c r="A49">
        <v>12.5</v>
      </c>
      <c r="B49">
        <f t="shared" si="4"/>
        <v>0.27</v>
      </c>
      <c r="C49">
        <v>0.27600000000000002</v>
      </c>
      <c r="D49">
        <v>0.252</v>
      </c>
      <c r="E49">
        <v>0.28199999999999997</v>
      </c>
    </row>
    <row r="50" spans="1:5" x14ac:dyDescent="0.25">
      <c r="A50">
        <v>25</v>
      </c>
      <c r="B50">
        <f t="shared" si="4"/>
        <v>0.48</v>
      </c>
      <c r="C50">
        <v>0.441</v>
      </c>
      <c r="D50">
        <v>0.498</v>
      </c>
      <c r="E50">
        <v>0.501</v>
      </c>
    </row>
    <row r="51" spans="1:5" x14ac:dyDescent="0.25">
      <c r="A51">
        <v>50</v>
      </c>
      <c r="B51">
        <f>AVERAGE(C51,E51)</f>
        <v>0.84799999999999998</v>
      </c>
      <c r="C51">
        <v>0.85</v>
      </c>
      <c r="D51">
        <v>0.88500000000000001</v>
      </c>
      <c r="E51" s="6">
        <v>0.84599999999999997</v>
      </c>
    </row>
    <row r="52" spans="1:5" x14ac:dyDescent="0.25">
      <c r="A52">
        <v>100</v>
      </c>
      <c r="B52">
        <f t="shared" si="4"/>
        <v>1.4420000000000002</v>
      </c>
      <c r="C52">
        <v>1.468</v>
      </c>
      <c r="D52">
        <v>1.3360000000000001</v>
      </c>
      <c r="E52">
        <v>1.522</v>
      </c>
    </row>
    <row r="53" spans="1:5" x14ac:dyDescent="0.25">
      <c r="A53">
        <v>100</v>
      </c>
      <c r="B53">
        <f t="shared" si="4"/>
        <v>1.3220000000000001</v>
      </c>
      <c r="C53">
        <v>1.462</v>
      </c>
      <c r="D53">
        <v>1.3660000000000001</v>
      </c>
      <c r="E53">
        <v>1.1379999999999999</v>
      </c>
    </row>
    <row r="54" spans="1:5" x14ac:dyDescent="0.25">
      <c r="A54">
        <v>100</v>
      </c>
      <c r="B54">
        <f t="shared" si="4"/>
        <v>1.3443333333333332</v>
      </c>
      <c r="C54">
        <v>1.427</v>
      </c>
      <c r="D54">
        <v>1.2629999999999999</v>
      </c>
      <c r="E54">
        <v>1.343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5.6666666666666664E-2</v>
      </c>
      <c r="C58" s="4">
        <v>5.6000000000000001E-2</v>
      </c>
      <c r="D58" s="4">
        <v>0.06</v>
      </c>
      <c r="E58" s="4">
        <v>5.3999999999999999E-2</v>
      </c>
    </row>
    <row r="59" spans="1:5" x14ac:dyDescent="0.25">
      <c r="A59">
        <v>5</v>
      </c>
      <c r="B59">
        <f t="shared" ref="B59:B65" si="5">AVERAGE(C59:E59)</f>
        <v>0.13266666666666668</v>
      </c>
      <c r="C59" s="4">
        <v>0.13100000000000001</v>
      </c>
      <c r="D59" s="4">
        <v>0.14000000000000001</v>
      </c>
      <c r="E59" s="4">
        <v>0.127</v>
      </c>
    </row>
    <row r="60" spans="1:5" x14ac:dyDescent="0.25">
      <c r="A60">
        <v>12.5</v>
      </c>
      <c r="B60">
        <f t="shared" si="5"/>
        <v>0.26533333333333337</v>
      </c>
      <c r="C60" s="4">
        <v>0.26900000000000002</v>
      </c>
      <c r="D60" s="4">
        <v>0.26200000000000001</v>
      </c>
      <c r="E60" s="4">
        <v>0.26500000000000001</v>
      </c>
    </row>
    <row r="61" spans="1:5" x14ac:dyDescent="0.25">
      <c r="A61">
        <v>25</v>
      </c>
      <c r="B61">
        <f t="shared" si="5"/>
        <v>0.51433333333333342</v>
      </c>
      <c r="C61" s="4">
        <v>0.51800000000000002</v>
      </c>
      <c r="D61" s="4">
        <v>0.50900000000000001</v>
      </c>
      <c r="E61" s="4">
        <v>0.51600000000000001</v>
      </c>
    </row>
    <row r="62" spans="1:5" x14ac:dyDescent="0.25">
      <c r="A62">
        <v>50</v>
      </c>
      <c r="B62">
        <f t="shared" si="5"/>
        <v>0.84</v>
      </c>
      <c r="C62" s="4">
        <v>0.90600000000000003</v>
      </c>
      <c r="D62" s="4">
        <v>0.84699999999999998</v>
      </c>
      <c r="E62" s="4">
        <v>0.76700000000000002</v>
      </c>
    </row>
    <row r="63" spans="1:5" x14ac:dyDescent="0.25">
      <c r="A63">
        <v>100</v>
      </c>
      <c r="B63">
        <f t="shared" si="5"/>
        <v>1.4916666666666665</v>
      </c>
      <c r="C63" s="4">
        <v>1.5329999999999999</v>
      </c>
      <c r="D63" s="4">
        <v>1.496</v>
      </c>
      <c r="E63" s="4">
        <v>1.446</v>
      </c>
    </row>
    <row r="64" spans="1:5" x14ac:dyDescent="0.25">
      <c r="A64">
        <v>100</v>
      </c>
      <c r="B64">
        <f t="shared" si="5"/>
        <v>1.4503333333333333</v>
      </c>
      <c r="C64" s="4">
        <v>1.504</v>
      </c>
      <c r="D64" s="4">
        <v>1.413</v>
      </c>
      <c r="E64" s="4">
        <v>1.4339999999999999</v>
      </c>
    </row>
    <row r="65" spans="1:5" x14ac:dyDescent="0.25">
      <c r="A65">
        <v>100</v>
      </c>
      <c r="B65">
        <f t="shared" si="5"/>
        <v>1.492</v>
      </c>
      <c r="C65" s="4">
        <v>1.474</v>
      </c>
      <c r="D65" s="4">
        <v>1.5</v>
      </c>
      <c r="E65" s="4">
        <v>1.502</v>
      </c>
    </row>
    <row r="68" spans="1:5" x14ac:dyDescent="0.25">
      <c r="A68" s="1" t="s">
        <v>19</v>
      </c>
    </row>
    <row r="69" spans="1:5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</row>
    <row r="70" spans="1:5" x14ac:dyDescent="0.25">
      <c r="A70">
        <v>0</v>
      </c>
      <c r="B70">
        <f>AVERAGE(C70:E70)</f>
        <v>5.1999999999999998E-2</v>
      </c>
      <c r="C70" s="4">
        <v>5.2999999999999999E-2</v>
      </c>
      <c r="D70" s="4">
        <v>5.2999999999999999E-2</v>
      </c>
      <c r="E70" s="4">
        <v>0.05</v>
      </c>
    </row>
    <row r="71" spans="1:5" x14ac:dyDescent="0.25">
      <c r="A71">
        <v>5</v>
      </c>
      <c r="B71">
        <f t="shared" ref="B71:B77" si="6">AVERAGE(C71:E71)</f>
        <v>0.12766666666666668</v>
      </c>
      <c r="C71" s="4">
        <v>0.14000000000000001</v>
      </c>
      <c r="D71" s="4">
        <v>0.1</v>
      </c>
      <c r="E71" s="4">
        <v>0.14299999999999999</v>
      </c>
    </row>
    <row r="72" spans="1:5" x14ac:dyDescent="0.25">
      <c r="A72">
        <v>12.5</v>
      </c>
      <c r="B72">
        <f t="shared" si="6"/>
        <v>0.27699999999999997</v>
      </c>
      <c r="C72" s="4">
        <v>0.28199999999999997</v>
      </c>
      <c r="D72" s="4">
        <v>0.255</v>
      </c>
      <c r="E72" s="4">
        <v>0.29399999999999998</v>
      </c>
    </row>
    <row r="73" spans="1:5" x14ac:dyDescent="0.25">
      <c r="A73">
        <v>25</v>
      </c>
      <c r="B73">
        <f t="shared" si="6"/>
        <v>0.53100000000000003</v>
      </c>
      <c r="C73" s="4">
        <v>0.56200000000000006</v>
      </c>
      <c r="D73" s="4">
        <v>0.54900000000000004</v>
      </c>
      <c r="E73" s="4">
        <v>0.48199999999999998</v>
      </c>
    </row>
    <row r="74" spans="1:5" x14ac:dyDescent="0.25">
      <c r="A74">
        <v>50</v>
      </c>
      <c r="B74">
        <f t="shared" si="6"/>
        <v>0.878</v>
      </c>
      <c r="C74" s="4">
        <v>0.94599999999999995</v>
      </c>
      <c r="D74" s="4">
        <v>0.879</v>
      </c>
      <c r="E74" s="4">
        <v>0.80900000000000005</v>
      </c>
    </row>
    <row r="75" spans="1:5" x14ac:dyDescent="0.25">
      <c r="A75">
        <v>100</v>
      </c>
      <c r="B75">
        <f t="shared" si="6"/>
        <v>1.482</v>
      </c>
      <c r="C75" s="4">
        <v>1.518</v>
      </c>
      <c r="D75" s="4">
        <v>1.474</v>
      </c>
      <c r="E75" s="4">
        <v>1.454</v>
      </c>
    </row>
    <row r="76" spans="1:5" x14ac:dyDescent="0.25">
      <c r="A76">
        <v>100</v>
      </c>
      <c r="B76">
        <f t="shared" si="6"/>
        <v>1.4483333333333333</v>
      </c>
      <c r="C76" s="4">
        <v>1.48</v>
      </c>
      <c r="D76" s="4">
        <v>1.4019999999999999</v>
      </c>
      <c r="E76" s="4">
        <v>1.4630000000000001</v>
      </c>
    </row>
    <row r="77" spans="1:5" x14ac:dyDescent="0.25">
      <c r="A77">
        <v>100</v>
      </c>
      <c r="B77">
        <f t="shared" si="6"/>
        <v>1.4909999999999999</v>
      </c>
      <c r="C77" s="4">
        <v>1.476</v>
      </c>
      <c r="D77" s="4">
        <v>1.52</v>
      </c>
      <c r="E77" s="4">
        <v>1.4770000000000001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5A57-A1F1-4412-A9A9-DD92A99EEE7D}">
  <dimension ref="A1:N29"/>
  <sheetViews>
    <sheetView workbookViewId="0">
      <selection sqref="A1:XFD1048576"/>
    </sheetView>
  </sheetViews>
  <sheetFormatPr defaultRowHeight="15" x14ac:dyDescent="0.25"/>
  <cols>
    <col min="1" max="1" width="11.28515625" customWidth="1"/>
  </cols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5.1999999999999998E-2</v>
      </c>
      <c r="C2" s="4">
        <v>0.05</v>
      </c>
      <c r="D2" s="4">
        <v>5.5E-2</v>
      </c>
      <c r="E2" s="4">
        <v>5.5E-2</v>
      </c>
      <c r="F2" s="4">
        <v>5.5E-2</v>
      </c>
      <c r="G2" s="4">
        <v>5.6000000000000001E-2</v>
      </c>
      <c r="H2" s="4">
        <v>7.0000000000000007E-2</v>
      </c>
      <c r="I2" s="4">
        <v>7.0000000000000007E-2</v>
      </c>
      <c r="J2" s="4">
        <v>6.6000000000000003E-2</v>
      </c>
      <c r="K2" s="4">
        <v>0.157</v>
      </c>
      <c r="L2" s="4">
        <v>0.14599999999999999</v>
      </c>
      <c r="M2" s="4">
        <v>0.14399999999999999</v>
      </c>
      <c r="N2" s="5">
        <v>670</v>
      </c>
    </row>
    <row r="3" spans="1:14" x14ac:dyDescent="0.25">
      <c r="A3" s="3" t="s">
        <v>12</v>
      </c>
      <c r="B3" s="4">
        <v>0.13500000000000001</v>
      </c>
      <c r="C3" s="4">
        <v>0.14299999999999999</v>
      </c>
      <c r="D3" s="4">
        <v>0.14799999999999999</v>
      </c>
      <c r="E3" s="4">
        <v>5.6000000000000001E-2</v>
      </c>
      <c r="F3" s="4">
        <v>5.7000000000000002E-2</v>
      </c>
      <c r="G3" s="4">
        <v>5.3999999999999999E-2</v>
      </c>
      <c r="H3" s="4">
        <v>6.2E-2</v>
      </c>
      <c r="I3" s="4">
        <v>5.8999999999999997E-2</v>
      </c>
      <c r="J3" s="4">
        <v>5.8000000000000003E-2</v>
      </c>
      <c r="K3" s="4">
        <v>0.28999999999999998</v>
      </c>
      <c r="L3" s="4">
        <v>0.26600000000000001</v>
      </c>
      <c r="M3" s="4">
        <v>0.28299999999999997</v>
      </c>
      <c r="N3" s="5">
        <v>670</v>
      </c>
    </row>
    <row r="4" spans="1:14" x14ac:dyDescent="0.25">
      <c r="A4" s="3" t="s">
        <v>13</v>
      </c>
      <c r="B4" s="4">
        <v>0.27800000000000002</v>
      </c>
      <c r="C4" s="4">
        <v>0.22900000000000001</v>
      </c>
      <c r="D4" s="4">
        <v>0.254</v>
      </c>
      <c r="E4" s="4">
        <v>5.3999999999999999E-2</v>
      </c>
      <c r="F4" s="4">
        <v>5.3999999999999999E-2</v>
      </c>
      <c r="G4" s="4">
        <v>5.5E-2</v>
      </c>
      <c r="H4" s="4">
        <v>8.3000000000000004E-2</v>
      </c>
      <c r="I4" s="4">
        <v>8.4000000000000005E-2</v>
      </c>
      <c r="J4" s="4">
        <v>8.2000000000000003E-2</v>
      </c>
      <c r="K4" s="4">
        <v>0.122</v>
      </c>
      <c r="L4" s="4">
        <v>0.123</v>
      </c>
      <c r="M4" s="4">
        <v>0.12</v>
      </c>
      <c r="N4" s="5">
        <v>670</v>
      </c>
    </row>
    <row r="5" spans="1:14" x14ac:dyDescent="0.25">
      <c r="A5" s="3" t="s">
        <v>14</v>
      </c>
      <c r="B5" s="4">
        <v>0.51700000000000002</v>
      </c>
      <c r="C5" s="4">
        <v>0.51100000000000001</v>
      </c>
      <c r="D5" s="4">
        <v>0.45300000000000001</v>
      </c>
      <c r="E5" s="4">
        <v>5.1999999999999998E-2</v>
      </c>
      <c r="F5" s="4">
        <v>5.3999999999999999E-2</v>
      </c>
      <c r="G5" s="4">
        <v>5.5E-2</v>
      </c>
      <c r="H5" s="4">
        <v>8.3000000000000004E-2</v>
      </c>
      <c r="I5" s="4">
        <v>7.9000000000000001E-2</v>
      </c>
      <c r="J5" s="4">
        <v>7.8E-2</v>
      </c>
      <c r="K5" s="4">
        <v>0.126</v>
      </c>
      <c r="L5" s="4">
        <v>0.127</v>
      </c>
      <c r="M5" s="4">
        <v>0.129</v>
      </c>
      <c r="N5" s="5">
        <v>670</v>
      </c>
    </row>
    <row r="6" spans="1:14" x14ac:dyDescent="0.25">
      <c r="A6" s="3" t="s">
        <v>15</v>
      </c>
      <c r="B6" s="4">
        <v>0.85399999999999998</v>
      </c>
      <c r="C6" s="4">
        <v>0.81899999999999995</v>
      </c>
      <c r="D6" s="4">
        <v>0.78900000000000003</v>
      </c>
      <c r="E6" s="4">
        <v>5.1999999999999998E-2</v>
      </c>
      <c r="F6" s="4">
        <v>0.06</v>
      </c>
      <c r="G6" s="4">
        <v>5.1999999999999998E-2</v>
      </c>
      <c r="H6" s="4">
        <v>5.5E-2</v>
      </c>
      <c r="I6" s="4">
        <v>5.7000000000000002E-2</v>
      </c>
      <c r="J6" s="4">
        <v>5.2999999999999999E-2</v>
      </c>
      <c r="K6" s="4">
        <v>0.249</v>
      </c>
      <c r="L6" s="4">
        <v>0.26400000000000001</v>
      </c>
      <c r="M6" s="4">
        <v>0.25700000000000001</v>
      </c>
      <c r="N6" s="5">
        <v>670</v>
      </c>
    </row>
    <row r="7" spans="1:14" x14ac:dyDescent="0.25">
      <c r="A7" s="3" t="s">
        <v>16</v>
      </c>
      <c r="B7" s="4">
        <v>1.419</v>
      </c>
      <c r="C7" s="4">
        <v>1.3120000000000001</v>
      </c>
      <c r="D7" s="4">
        <v>1.3089999999999999</v>
      </c>
      <c r="E7" s="4">
        <v>7.6999999999999999E-2</v>
      </c>
      <c r="F7" s="4">
        <v>7.1999999999999995E-2</v>
      </c>
      <c r="G7" s="4">
        <v>7.2999999999999995E-2</v>
      </c>
      <c r="H7" s="4">
        <v>5.5E-2</v>
      </c>
      <c r="I7" s="4">
        <v>5.3999999999999999E-2</v>
      </c>
      <c r="J7" s="4">
        <v>5.3999999999999999E-2</v>
      </c>
      <c r="K7" s="4">
        <v>9.5000000000000001E-2</v>
      </c>
      <c r="L7" s="4">
        <v>9.5000000000000001E-2</v>
      </c>
      <c r="M7" s="4">
        <v>9.5000000000000001E-2</v>
      </c>
      <c r="N7" s="5">
        <v>670</v>
      </c>
    </row>
    <row r="8" spans="1:14" x14ac:dyDescent="0.25">
      <c r="A8" s="3" t="s">
        <v>17</v>
      </c>
      <c r="B8" s="4">
        <v>1.361</v>
      </c>
      <c r="C8" s="4">
        <v>1.373</v>
      </c>
      <c r="D8" s="4">
        <v>1.728</v>
      </c>
      <c r="E8" s="4">
        <v>6.8000000000000005E-2</v>
      </c>
      <c r="F8" s="4">
        <v>6.3E-2</v>
      </c>
      <c r="G8" s="4">
        <v>6.4000000000000001E-2</v>
      </c>
      <c r="H8" s="4">
        <v>0.112</v>
      </c>
      <c r="I8" s="4">
        <v>0.108</v>
      </c>
      <c r="J8" s="4">
        <v>0.108</v>
      </c>
      <c r="K8" s="4">
        <v>8.5000000000000006E-2</v>
      </c>
      <c r="L8" s="4">
        <v>8.2000000000000003E-2</v>
      </c>
      <c r="M8" s="4">
        <v>8.3000000000000004E-2</v>
      </c>
      <c r="N8" s="5">
        <v>670</v>
      </c>
    </row>
    <row r="9" spans="1:14" x14ac:dyDescent="0.25">
      <c r="A9" s="3" t="s">
        <v>18</v>
      </c>
      <c r="B9" s="4">
        <v>1.528</v>
      </c>
      <c r="C9" s="4">
        <v>1.4830000000000001</v>
      </c>
      <c r="D9" s="4">
        <v>1.4330000000000001</v>
      </c>
      <c r="E9" s="4">
        <v>0.14599999999999999</v>
      </c>
      <c r="F9" s="4">
        <v>0.14599999999999999</v>
      </c>
      <c r="G9" s="4">
        <v>0.14499999999999999</v>
      </c>
      <c r="H9" s="4">
        <v>0.41699999999999998</v>
      </c>
      <c r="I9" s="4">
        <v>0.57099999999999995</v>
      </c>
      <c r="J9" s="4">
        <v>0.4</v>
      </c>
      <c r="K9" s="4">
        <v>0.155</v>
      </c>
      <c r="L9" s="4">
        <v>0.155</v>
      </c>
      <c r="M9" s="4">
        <v>0.154</v>
      </c>
      <c r="N9" s="5">
        <v>670</v>
      </c>
    </row>
    <row r="11" spans="1:14" x14ac:dyDescent="0.25">
      <c r="A11" s="2" t="s">
        <v>20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s="7" t="s">
        <v>22</v>
      </c>
      <c r="C12" s="7" t="s">
        <v>22</v>
      </c>
      <c r="D12" s="7" t="s">
        <v>22</v>
      </c>
      <c r="E12" s="7" t="s">
        <v>30</v>
      </c>
      <c r="F12" s="7" t="s">
        <v>30</v>
      </c>
      <c r="G12" s="7" t="s">
        <v>30</v>
      </c>
      <c r="H12" s="7" t="s">
        <v>38</v>
      </c>
      <c r="I12" s="7" t="s">
        <v>38</v>
      </c>
      <c r="J12" s="7" t="s">
        <v>38</v>
      </c>
      <c r="K12" s="7" t="s">
        <v>45</v>
      </c>
      <c r="L12" s="7" t="s">
        <v>45</v>
      </c>
      <c r="M12" s="7" t="s">
        <v>45</v>
      </c>
    </row>
    <row r="13" spans="1:14" x14ac:dyDescent="0.25">
      <c r="A13" s="3" t="s">
        <v>12</v>
      </c>
      <c r="B13" s="7" t="s">
        <v>23</v>
      </c>
      <c r="C13" s="7" t="s">
        <v>23</v>
      </c>
      <c r="D13" s="7" t="s">
        <v>23</v>
      </c>
      <c r="E13" s="7" t="s">
        <v>33</v>
      </c>
      <c r="F13" s="7" t="s">
        <v>33</v>
      </c>
      <c r="G13" s="7" t="s">
        <v>33</v>
      </c>
      <c r="H13" s="7" t="s">
        <v>39</v>
      </c>
      <c r="I13" s="7" t="s">
        <v>39</v>
      </c>
      <c r="J13" s="7" t="s">
        <v>39</v>
      </c>
      <c r="K13" s="7" t="s">
        <v>46</v>
      </c>
      <c r="L13" s="7" t="s">
        <v>46</v>
      </c>
      <c r="M13" s="7" t="s">
        <v>46</v>
      </c>
    </row>
    <row r="14" spans="1:14" x14ac:dyDescent="0.25">
      <c r="A14" s="3" t="s">
        <v>13</v>
      </c>
      <c r="B14" s="7" t="s">
        <v>24</v>
      </c>
      <c r="C14" s="7" t="s">
        <v>24</v>
      </c>
      <c r="D14" s="7" t="s">
        <v>24</v>
      </c>
      <c r="E14" s="7" t="s">
        <v>31</v>
      </c>
      <c r="F14" s="7" t="s">
        <v>31</v>
      </c>
      <c r="G14" s="7" t="s">
        <v>31</v>
      </c>
      <c r="H14" s="7" t="s">
        <v>40</v>
      </c>
      <c r="I14" s="7" t="s">
        <v>40</v>
      </c>
      <c r="J14" s="7" t="s">
        <v>40</v>
      </c>
      <c r="K14" s="7" t="s">
        <v>47</v>
      </c>
      <c r="L14" s="7" t="s">
        <v>47</v>
      </c>
      <c r="M14" s="7" t="s">
        <v>47</v>
      </c>
    </row>
    <row r="15" spans="1:14" x14ac:dyDescent="0.25">
      <c r="A15" s="3" t="s">
        <v>14</v>
      </c>
      <c r="B15" s="7" t="s">
        <v>25</v>
      </c>
      <c r="C15" s="7" t="s">
        <v>25</v>
      </c>
      <c r="D15" s="7" t="s">
        <v>25</v>
      </c>
      <c r="E15" s="7" t="s">
        <v>34</v>
      </c>
      <c r="F15" s="7" t="s">
        <v>34</v>
      </c>
      <c r="G15" s="7" t="s">
        <v>34</v>
      </c>
      <c r="H15" s="7" t="s">
        <v>41</v>
      </c>
      <c r="I15" s="7" t="s">
        <v>41</v>
      </c>
      <c r="J15" s="7" t="s">
        <v>41</v>
      </c>
      <c r="K15" s="7" t="s">
        <v>48</v>
      </c>
      <c r="L15" s="7" t="s">
        <v>48</v>
      </c>
      <c r="M15" s="7" t="s">
        <v>48</v>
      </c>
    </row>
    <row r="16" spans="1:14" x14ac:dyDescent="0.25">
      <c r="A16" s="3" t="s">
        <v>15</v>
      </c>
      <c r="B16" s="7" t="s">
        <v>26</v>
      </c>
      <c r="C16" s="7" t="s">
        <v>26</v>
      </c>
      <c r="D16" s="7" t="s">
        <v>26</v>
      </c>
      <c r="E16" s="7" t="s">
        <v>32</v>
      </c>
      <c r="F16" s="7" t="s">
        <v>32</v>
      </c>
      <c r="G16" s="7" t="s">
        <v>32</v>
      </c>
      <c r="H16" s="7" t="s">
        <v>42</v>
      </c>
      <c r="I16" s="7" t="s">
        <v>42</v>
      </c>
      <c r="J16" s="7" t="s">
        <v>42</v>
      </c>
      <c r="K16" s="7" t="s">
        <v>49</v>
      </c>
      <c r="L16" s="7" t="s">
        <v>49</v>
      </c>
      <c r="M16" s="7" t="s">
        <v>49</v>
      </c>
    </row>
    <row r="17" spans="1:13" x14ac:dyDescent="0.25">
      <c r="A17" s="3" t="s">
        <v>16</v>
      </c>
      <c r="B17" s="7" t="s">
        <v>27</v>
      </c>
      <c r="C17" s="7" t="s">
        <v>27</v>
      </c>
      <c r="D17" s="7" t="s">
        <v>27</v>
      </c>
      <c r="E17" s="7" t="s">
        <v>35</v>
      </c>
      <c r="F17" s="7" t="s">
        <v>35</v>
      </c>
      <c r="G17" s="7" t="s">
        <v>35</v>
      </c>
      <c r="H17" s="7" t="s">
        <v>43</v>
      </c>
      <c r="I17" s="7" t="s">
        <v>43</v>
      </c>
      <c r="J17" s="7" t="s">
        <v>43</v>
      </c>
      <c r="K17" s="7" t="s">
        <v>50</v>
      </c>
      <c r="L17" s="7" t="s">
        <v>50</v>
      </c>
      <c r="M17" s="7" t="s">
        <v>50</v>
      </c>
    </row>
    <row r="18" spans="1:13" x14ac:dyDescent="0.25">
      <c r="A18" s="3" t="s">
        <v>17</v>
      </c>
      <c r="B18" s="7" t="s">
        <v>28</v>
      </c>
      <c r="C18" s="7" t="s">
        <v>28</v>
      </c>
      <c r="D18" s="7" t="s">
        <v>28</v>
      </c>
      <c r="E18" s="7" t="s">
        <v>36</v>
      </c>
      <c r="F18" s="7" t="s">
        <v>36</v>
      </c>
      <c r="G18" s="7" t="s">
        <v>36</v>
      </c>
      <c r="H18" s="7" t="s">
        <v>44</v>
      </c>
      <c r="I18" s="7" t="s">
        <v>44</v>
      </c>
      <c r="J18" s="7" t="s">
        <v>44</v>
      </c>
      <c r="K18" s="7" t="s">
        <v>51</v>
      </c>
      <c r="L18" s="7" t="s">
        <v>51</v>
      </c>
      <c r="M18" s="7" t="s">
        <v>51</v>
      </c>
    </row>
    <row r="19" spans="1:13" x14ac:dyDescent="0.25">
      <c r="A19" s="3" t="s">
        <v>18</v>
      </c>
      <c r="B19" s="7" t="s">
        <v>29</v>
      </c>
      <c r="C19" s="7" t="s">
        <v>29</v>
      </c>
      <c r="D19" s="7" t="s">
        <v>29</v>
      </c>
      <c r="E19" s="7" t="s">
        <v>37</v>
      </c>
      <c r="F19" s="7" t="s">
        <v>37</v>
      </c>
      <c r="G19" s="7" t="s">
        <v>37</v>
      </c>
      <c r="H19" s="7" t="s">
        <v>44</v>
      </c>
      <c r="I19" s="7" t="s">
        <v>44</v>
      </c>
      <c r="J19" s="7" t="s">
        <v>44</v>
      </c>
      <c r="K19" s="7" t="s">
        <v>52</v>
      </c>
      <c r="L19" s="7" t="s">
        <v>52</v>
      </c>
      <c r="M19" s="7" t="s">
        <v>52</v>
      </c>
    </row>
    <row r="21" spans="1:13" ht="30" x14ac:dyDescent="0.25">
      <c r="A21" s="2" t="s">
        <v>21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250</v>
      </c>
      <c r="L22" s="4">
        <v>250</v>
      </c>
      <c r="M22" s="4">
        <v>250</v>
      </c>
    </row>
    <row r="23" spans="1:13" x14ac:dyDescent="0.25">
      <c r="A23" s="3" t="s">
        <v>12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250</v>
      </c>
      <c r="L23" s="4">
        <v>250</v>
      </c>
      <c r="M23" s="4">
        <v>250</v>
      </c>
    </row>
    <row r="24" spans="1:13" x14ac:dyDescent="0.25">
      <c r="A24" s="3" t="s">
        <v>13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250</v>
      </c>
      <c r="L24" s="4">
        <v>250</v>
      </c>
      <c r="M24" s="4">
        <v>250</v>
      </c>
    </row>
    <row r="25" spans="1:13" x14ac:dyDescent="0.25">
      <c r="A25" s="3" t="s">
        <v>14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250</v>
      </c>
      <c r="L25" s="4">
        <v>250</v>
      </c>
      <c r="M25" s="4">
        <v>250</v>
      </c>
    </row>
    <row r="26" spans="1:13" x14ac:dyDescent="0.25">
      <c r="A26" s="3" t="s">
        <v>15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250</v>
      </c>
      <c r="L26" s="4">
        <v>250</v>
      </c>
      <c r="M26" s="4">
        <v>250</v>
      </c>
    </row>
    <row r="27" spans="1:13" x14ac:dyDescent="0.25">
      <c r="A27" s="3" t="s">
        <v>16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250</v>
      </c>
      <c r="L27" s="4">
        <v>250</v>
      </c>
      <c r="M27" s="4">
        <v>250</v>
      </c>
    </row>
    <row r="28" spans="1:13" x14ac:dyDescent="0.25">
      <c r="A28" s="3" t="s">
        <v>17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250</v>
      </c>
      <c r="I28" s="4">
        <v>250</v>
      </c>
      <c r="J28" s="4">
        <v>250</v>
      </c>
      <c r="K28" s="4">
        <v>250</v>
      </c>
      <c r="L28" s="4">
        <v>250</v>
      </c>
      <c r="M28" s="4">
        <v>250</v>
      </c>
    </row>
    <row r="29" spans="1:13" x14ac:dyDescent="0.25">
      <c r="A29" s="3" t="s">
        <v>18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250</v>
      </c>
      <c r="I29" s="4">
        <v>250</v>
      </c>
      <c r="J29" s="4">
        <v>250</v>
      </c>
      <c r="K29" s="4">
        <v>250</v>
      </c>
      <c r="L29" s="4">
        <v>250</v>
      </c>
      <c r="M29" s="4">
        <v>250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53E1-D196-4F41-8D75-3B7FBA5C2A30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4.9000000000000002E-2</v>
      </c>
      <c r="C2" s="4">
        <v>0.05</v>
      </c>
      <c r="D2" s="4">
        <v>4.8000000000000001E-2</v>
      </c>
      <c r="E2" s="4">
        <v>5.3999999999999999E-2</v>
      </c>
      <c r="F2" s="4">
        <v>5.7000000000000002E-2</v>
      </c>
      <c r="G2" s="4">
        <v>5.3999999999999999E-2</v>
      </c>
      <c r="H2" s="4">
        <v>5.7000000000000002E-2</v>
      </c>
      <c r="I2" s="4">
        <v>5.5E-2</v>
      </c>
      <c r="J2" s="4">
        <v>5.3999999999999999E-2</v>
      </c>
      <c r="K2" s="4">
        <v>5.7000000000000002E-2</v>
      </c>
      <c r="L2" s="4">
        <v>5.7000000000000002E-2</v>
      </c>
      <c r="M2" s="4">
        <v>5.7000000000000002E-2</v>
      </c>
      <c r="N2" s="5">
        <v>670</v>
      </c>
    </row>
    <row r="3" spans="1:14" x14ac:dyDescent="0.25">
      <c r="A3" s="3" t="s">
        <v>12</v>
      </c>
      <c r="B3" s="4">
        <v>0.151</v>
      </c>
      <c r="C3" s="4">
        <v>0.13700000000000001</v>
      </c>
      <c r="D3" s="4">
        <v>0.129</v>
      </c>
      <c r="E3" s="4">
        <v>0.05</v>
      </c>
      <c r="F3" s="4">
        <v>5.2999999999999999E-2</v>
      </c>
      <c r="G3" s="4">
        <v>5.6000000000000001E-2</v>
      </c>
      <c r="H3" s="4">
        <v>5.8999999999999997E-2</v>
      </c>
      <c r="I3" s="4">
        <v>6.0999999999999999E-2</v>
      </c>
      <c r="J3" s="4">
        <v>5.8999999999999997E-2</v>
      </c>
      <c r="K3" s="4">
        <v>2.2330000000000001</v>
      </c>
      <c r="L3" s="4">
        <v>2.427</v>
      </c>
      <c r="M3" s="4">
        <v>2.48</v>
      </c>
      <c r="N3" s="5">
        <v>670</v>
      </c>
    </row>
    <row r="4" spans="1:14" x14ac:dyDescent="0.25">
      <c r="A4" s="3" t="s">
        <v>13</v>
      </c>
      <c r="B4" s="4">
        <v>0.28899999999999998</v>
      </c>
      <c r="C4" s="4">
        <v>0.27300000000000002</v>
      </c>
      <c r="D4" s="4">
        <v>0.247</v>
      </c>
      <c r="E4" s="4">
        <v>5.2999999999999999E-2</v>
      </c>
      <c r="F4" s="4">
        <v>5.3999999999999999E-2</v>
      </c>
      <c r="G4" s="4">
        <v>5.0999999999999997E-2</v>
      </c>
      <c r="H4" s="4">
        <v>6.0999999999999999E-2</v>
      </c>
      <c r="I4" s="4">
        <v>6.2E-2</v>
      </c>
      <c r="J4" s="4">
        <v>0.06</v>
      </c>
      <c r="K4" s="4">
        <v>9.1999999999999998E-2</v>
      </c>
      <c r="L4" s="4">
        <v>0.104</v>
      </c>
      <c r="M4" s="4">
        <v>9.1999999999999998E-2</v>
      </c>
      <c r="N4" s="5">
        <v>670</v>
      </c>
    </row>
    <row r="5" spans="1:14" x14ac:dyDescent="0.25">
      <c r="A5" s="3" t="s">
        <v>14</v>
      </c>
      <c r="B5" s="4">
        <v>0.59199999999999997</v>
      </c>
      <c r="C5" s="4">
        <v>0.502</v>
      </c>
      <c r="D5" s="4">
        <v>0.443</v>
      </c>
      <c r="E5" s="4">
        <v>5.2999999999999999E-2</v>
      </c>
      <c r="F5" s="4">
        <v>5.1999999999999998E-2</v>
      </c>
      <c r="G5" s="4">
        <v>5.0999999999999997E-2</v>
      </c>
      <c r="H5" s="4">
        <v>6.7000000000000004E-2</v>
      </c>
      <c r="I5" s="4">
        <v>6.5000000000000002E-2</v>
      </c>
      <c r="J5" s="4">
        <v>6.9000000000000006E-2</v>
      </c>
      <c r="K5" s="4">
        <v>0.06</v>
      </c>
      <c r="L5" s="4">
        <v>0.06</v>
      </c>
      <c r="M5" s="4">
        <v>0.06</v>
      </c>
      <c r="N5" s="5">
        <v>670</v>
      </c>
    </row>
    <row r="6" spans="1:14" x14ac:dyDescent="0.25">
      <c r="A6" s="3" t="s">
        <v>15</v>
      </c>
      <c r="B6" s="4">
        <v>0.91500000000000004</v>
      </c>
      <c r="C6" s="4">
        <v>0.83599999999999997</v>
      </c>
      <c r="D6" s="4">
        <v>0.91300000000000003</v>
      </c>
      <c r="E6" s="4">
        <v>5.0999999999999997E-2</v>
      </c>
      <c r="F6" s="4">
        <v>5.1999999999999998E-2</v>
      </c>
      <c r="G6" s="4">
        <v>5.2999999999999999E-2</v>
      </c>
      <c r="H6" s="4">
        <v>6.7000000000000004E-2</v>
      </c>
      <c r="I6" s="4">
        <v>7.0999999999999994E-2</v>
      </c>
      <c r="J6" s="4">
        <v>6.8000000000000005E-2</v>
      </c>
      <c r="K6" s="4">
        <v>0.46100000000000002</v>
      </c>
      <c r="L6" s="4">
        <v>0.47399999999999998</v>
      </c>
      <c r="M6" s="4">
        <v>0.47899999999999998</v>
      </c>
      <c r="N6" s="5">
        <v>670</v>
      </c>
    </row>
    <row r="7" spans="1:14" x14ac:dyDescent="0.25">
      <c r="A7" s="3" t="s">
        <v>16</v>
      </c>
      <c r="B7" s="4">
        <v>1.4490000000000001</v>
      </c>
      <c r="C7" s="4">
        <v>1.4730000000000001</v>
      </c>
      <c r="D7" s="4">
        <v>1.38</v>
      </c>
      <c r="E7" s="4">
        <v>5.1999999999999998E-2</v>
      </c>
      <c r="F7" s="4">
        <v>5.1999999999999998E-2</v>
      </c>
      <c r="G7" s="4">
        <v>5.3999999999999999E-2</v>
      </c>
      <c r="H7" s="4">
        <v>6.9000000000000006E-2</v>
      </c>
      <c r="I7" s="4">
        <v>7.0999999999999994E-2</v>
      </c>
      <c r="J7" s="4">
        <v>7.0000000000000007E-2</v>
      </c>
      <c r="K7" s="4">
        <v>5.8999999999999997E-2</v>
      </c>
      <c r="L7" s="4">
        <v>6.0999999999999999E-2</v>
      </c>
      <c r="M7" s="4">
        <v>0.06</v>
      </c>
      <c r="N7" s="5">
        <v>670</v>
      </c>
    </row>
    <row r="8" spans="1:14" x14ac:dyDescent="0.25">
      <c r="A8" s="3" t="s">
        <v>17</v>
      </c>
      <c r="B8" s="4">
        <v>1.431</v>
      </c>
      <c r="C8" s="4">
        <v>1.371</v>
      </c>
      <c r="D8" s="4">
        <v>1.452</v>
      </c>
      <c r="E8" s="4">
        <v>5.7000000000000002E-2</v>
      </c>
      <c r="F8" s="4">
        <v>5.2999999999999999E-2</v>
      </c>
      <c r="G8" s="4">
        <v>5.1999999999999998E-2</v>
      </c>
      <c r="H8" s="4">
        <v>5.5E-2</v>
      </c>
      <c r="I8" s="4">
        <v>6.6000000000000003E-2</v>
      </c>
      <c r="J8" s="4">
        <v>6.2E-2</v>
      </c>
      <c r="K8" s="4">
        <v>5.8000000000000003E-2</v>
      </c>
      <c r="L8" s="4">
        <v>5.8000000000000003E-2</v>
      </c>
      <c r="M8" s="4">
        <v>5.7000000000000002E-2</v>
      </c>
      <c r="N8" s="5">
        <v>670</v>
      </c>
    </row>
    <row r="9" spans="1:14" x14ac:dyDescent="0.25">
      <c r="A9" s="3" t="s">
        <v>18</v>
      </c>
      <c r="B9" s="4">
        <v>1.5289999999999999</v>
      </c>
      <c r="C9" s="4">
        <v>1.536</v>
      </c>
      <c r="D9" s="4">
        <v>1.429</v>
      </c>
      <c r="E9" s="4">
        <v>5.8999999999999997E-2</v>
      </c>
      <c r="F9" s="4">
        <v>5.7000000000000002E-2</v>
      </c>
      <c r="G9" s="4">
        <v>5.6000000000000001E-2</v>
      </c>
      <c r="H9" s="4">
        <v>0.41</v>
      </c>
      <c r="I9" s="4">
        <v>0.30499999999999999</v>
      </c>
      <c r="J9" s="4">
        <v>0.33200000000000002</v>
      </c>
      <c r="K9" s="4">
        <v>9.4E-2</v>
      </c>
      <c r="L9" s="4">
        <v>9.4E-2</v>
      </c>
      <c r="M9" s="4">
        <v>9.5000000000000001E-2</v>
      </c>
      <c r="N9" s="5">
        <v>670</v>
      </c>
    </row>
    <row r="11" spans="1:14" x14ac:dyDescent="0.25">
      <c r="A11" s="2" t="s">
        <v>20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s="7" t="s">
        <v>22</v>
      </c>
      <c r="C12" s="7" t="s">
        <v>22</v>
      </c>
      <c r="D12" s="7" t="s">
        <v>22</v>
      </c>
      <c r="E12" s="7" t="s">
        <v>53</v>
      </c>
      <c r="F12" s="7" t="s">
        <v>53</v>
      </c>
      <c r="G12" s="7" t="s">
        <v>53</v>
      </c>
      <c r="H12" s="7" t="s">
        <v>61</v>
      </c>
      <c r="I12" s="7" t="s">
        <v>61</v>
      </c>
      <c r="J12" s="7" t="s">
        <v>61</v>
      </c>
      <c r="K12" s="7" t="s">
        <v>69</v>
      </c>
      <c r="L12" s="7" t="s">
        <v>69</v>
      </c>
      <c r="M12" s="7" t="s">
        <v>69</v>
      </c>
    </row>
    <row r="13" spans="1:14" x14ac:dyDescent="0.25">
      <c r="A13" s="3" t="s">
        <v>12</v>
      </c>
      <c r="B13" s="7" t="s">
        <v>23</v>
      </c>
      <c r="C13" s="7" t="s">
        <v>23</v>
      </c>
      <c r="D13" s="7" t="s">
        <v>23</v>
      </c>
      <c r="E13" s="7" t="s">
        <v>54</v>
      </c>
      <c r="F13" s="7" t="s">
        <v>54</v>
      </c>
      <c r="G13" s="7" t="s">
        <v>54</v>
      </c>
      <c r="H13" s="7" t="s">
        <v>62</v>
      </c>
      <c r="I13" s="7" t="s">
        <v>62</v>
      </c>
      <c r="J13" s="7" t="s">
        <v>62</v>
      </c>
      <c r="K13" s="7" t="s">
        <v>71</v>
      </c>
      <c r="L13" s="7" t="s">
        <v>71</v>
      </c>
      <c r="M13" s="7" t="s">
        <v>71</v>
      </c>
    </row>
    <row r="14" spans="1:14" x14ac:dyDescent="0.25">
      <c r="A14" s="3" t="s">
        <v>13</v>
      </c>
      <c r="B14" s="7" t="s">
        <v>24</v>
      </c>
      <c r="C14" s="7" t="s">
        <v>24</v>
      </c>
      <c r="D14" s="7" t="s">
        <v>24</v>
      </c>
      <c r="E14" s="7" t="s">
        <v>55</v>
      </c>
      <c r="F14" s="7" t="s">
        <v>55</v>
      </c>
      <c r="G14" s="7" t="s">
        <v>55</v>
      </c>
      <c r="H14" s="7" t="s">
        <v>63</v>
      </c>
      <c r="I14" s="7" t="s">
        <v>63</v>
      </c>
      <c r="J14" s="7" t="s">
        <v>63</v>
      </c>
      <c r="K14" s="7" t="s">
        <v>72</v>
      </c>
      <c r="L14" s="7" t="s">
        <v>72</v>
      </c>
      <c r="M14" s="7" t="s">
        <v>72</v>
      </c>
    </row>
    <row r="15" spans="1:14" x14ac:dyDescent="0.25">
      <c r="A15" s="3" t="s">
        <v>14</v>
      </c>
      <c r="B15" s="7" t="s">
        <v>25</v>
      </c>
      <c r="C15" s="7" t="s">
        <v>25</v>
      </c>
      <c r="D15" s="7" t="s">
        <v>25</v>
      </c>
      <c r="E15" s="7" t="s">
        <v>56</v>
      </c>
      <c r="F15" s="7" t="s">
        <v>56</v>
      </c>
      <c r="G15" s="7" t="s">
        <v>56</v>
      </c>
      <c r="H15" s="7" t="s">
        <v>64</v>
      </c>
      <c r="I15" s="7" t="s">
        <v>64</v>
      </c>
      <c r="J15" s="7" t="s">
        <v>64</v>
      </c>
      <c r="K15" s="7" t="s">
        <v>70</v>
      </c>
      <c r="L15" s="7" t="s">
        <v>70</v>
      </c>
      <c r="M15" s="7" t="s">
        <v>70</v>
      </c>
    </row>
    <row r="16" spans="1:14" x14ac:dyDescent="0.25">
      <c r="A16" s="3" t="s">
        <v>15</v>
      </c>
      <c r="B16" s="7" t="s">
        <v>26</v>
      </c>
      <c r="C16" s="7" t="s">
        <v>26</v>
      </c>
      <c r="D16" s="7" t="s">
        <v>26</v>
      </c>
      <c r="E16" s="7" t="s">
        <v>57</v>
      </c>
      <c r="F16" s="7" t="s">
        <v>57</v>
      </c>
      <c r="G16" s="7" t="s">
        <v>57</v>
      </c>
      <c r="H16" s="7" t="s">
        <v>65</v>
      </c>
      <c r="I16" s="7" t="s">
        <v>65</v>
      </c>
      <c r="J16" s="7" t="s">
        <v>65</v>
      </c>
      <c r="K16" s="7" t="s">
        <v>73</v>
      </c>
      <c r="L16" s="7" t="s">
        <v>73</v>
      </c>
      <c r="M16" s="7" t="s">
        <v>73</v>
      </c>
    </row>
    <row r="17" spans="1:13" x14ac:dyDescent="0.25">
      <c r="A17" s="3" t="s">
        <v>16</v>
      </c>
      <c r="B17" s="7" t="s">
        <v>27</v>
      </c>
      <c r="C17" s="7" t="s">
        <v>27</v>
      </c>
      <c r="D17" s="7" t="s">
        <v>27</v>
      </c>
      <c r="E17" s="7" t="s">
        <v>58</v>
      </c>
      <c r="F17" s="7" t="s">
        <v>58</v>
      </c>
      <c r="G17" s="7" t="s">
        <v>58</v>
      </c>
      <c r="H17" s="7" t="s">
        <v>66</v>
      </c>
      <c r="I17" s="7" t="s">
        <v>66</v>
      </c>
      <c r="J17" s="7" t="s">
        <v>66</v>
      </c>
      <c r="K17" s="7" t="s">
        <v>74</v>
      </c>
      <c r="L17" s="7" t="s">
        <v>74</v>
      </c>
      <c r="M17" s="7" t="s">
        <v>74</v>
      </c>
    </row>
    <row r="18" spans="1:13" x14ac:dyDescent="0.25">
      <c r="A18" s="3" t="s">
        <v>17</v>
      </c>
      <c r="B18" s="7" t="s">
        <v>28</v>
      </c>
      <c r="C18" s="7" t="s">
        <v>28</v>
      </c>
      <c r="D18" s="7" t="s">
        <v>28</v>
      </c>
      <c r="E18" s="7" t="s">
        <v>59</v>
      </c>
      <c r="F18" s="7" t="s">
        <v>59</v>
      </c>
      <c r="G18" s="7" t="s">
        <v>59</v>
      </c>
      <c r="H18" s="7" t="s">
        <v>67</v>
      </c>
      <c r="I18" s="7" t="s">
        <v>67</v>
      </c>
      <c r="J18" s="7" t="s">
        <v>67</v>
      </c>
      <c r="K18" s="7" t="s">
        <v>75</v>
      </c>
      <c r="L18" s="7" t="s">
        <v>75</v>
      </c>
      <c r="M18" s="7" t="s">
        <v>75</v>
      </c>
    </row>
    <row r="19" spans="1:13" x14ac:dyDescent="0.25">
      <c r="A19" s="3" t="s">
        <v>18</v>
      </c>
      <c r="B19" s="7" t="s">
        <v>29</v>
      </c>
      <c r="C19" s="7" t="s">
        <v>29</v>
      </c>
      <c r="D19" s="7" t="s">
        <v>29</v>
      </c>
      <c r="E19" s="7" t="s">
        <v>60</v>
      </c>
      <c r="F19" s="7" t="s">
        <v>60</v>
      </c>
      <c r="G19" s="7" t="s">
        <v>60</v>
      </c>
      <c r="H19" s="7" t="s">
        <v>68</v>
      </c>
      <c r="I19" s="7" t="s">
        <v>68</v>
      </c>
      <c r="J19" s="7" t="s">
        <v>68</v>
      </c>
      <c r="K19" s="7" t="s">
        <v>76</v>
      </c>
      <c r="L19" s="7" t="s">
        <v>76</v>
      </c>
      <c r="M19" s="7" t="s">
        <v>76</v>
      </c>
    </row>
    <row r="21" spans="1:13" ht="30" x14ac:dyDescent="0.25">
      <c r="A21" s="2" t="s">
        <v>21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</row>
    <row r="23" spans="1:13" x14ac:dyDescent="0.25">
      <c r="A23" s="3" t="s">
        <v>12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</row>
    <row r="24" spans="1:13" x14ac:dyDescent="0.25">
      <c r="A24" s="3" t="s">
        <v>13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</row>
    <row r="25" spans="1:13" x14ac:dyDescent="0.25">
      <c r="A25" s="3" t="s">
        <v>14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</row>
    <row r="26" spans="1:13" x14ac:dyDescent="0.25">
      <c r="A26" s="3" t="s">
        <v>15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</row>
    <row r="27" spans="1:13" x14ac:dyDescent="0.25">
      <c r="A27" s="3" t="s">
        <v>16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</row>
    <row r="28" spans="1:13" x14ac:dyDescent="0.25">
      <c r="A28" s="3" t="s">
        <v>17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25">
      <c r="A29" s="3" t="s">
        <v>18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227B-DC74-4A1A-96FE-5687E9F9DA9A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5.1999999999999998E-2</v>
      </c>
      <c r="C2" s="4">
        <v>5.0999999999999997E-2</v>
      </c>
      <c r="D2" s="4">
        <v>5.8999999999999997E-2</v>
      </c>
      <c r="E2" s="4">
        <v>0.192</v>
      </c>
      <c r="F2" s="4">
        <v>0.20300000000000001</v>
      </c>
      <c r="G2" s="4">
        <v>0.19500000000000001</v>
      </c>
      <c r="H2" s="4">
        <v>5.2999999999999999E-2</v>
      </c>
      <c r="I2" s="4">
        <v>5.0999999999999997E-2</v>
      </c>
      <c r="J2" s="4">
        <v>5.3999999999999999E-2</v>
      </c>
      <c r="K2" s="4">
        <v>6.3E-2</v>
      </c>
      <c r="L2" s="4">
        <v>6.2E-2</v>
      </c>
      <c r="M2" s="4">
        <v>6.4000000000000001E-2</v>
      </c>
      <c r="N2" s="5">
        <v>670</v>
      </c>
    </row>
    <row r="3" spans="1:14" x14ac:dyDescent="0.25">
      <c r="A3" s="3" t="s">
        <v>12</v>
      </c>
      <c r="B3" s="4">
        <v>0.122</v>
      </c>
      <c r="C3" s="4">
        <v>0.154</v>
      </c>
      <c r="D3" s="4">
        <v>0.125</v>
      </c>
      <c r="E3" s="4">
        <v>6.3E-2</v>
      </c>
      <c r="F3" s="4">
        <v>6.0999999999999999E-2</v>
      </c>
      <c r="G3" s="4">
        <v>6.3E-2</v>
      </c>
      <c r="H3" s="4">
        <v>5.6000000000000001E-2</v>
      </c>
      <c r="I3" s="4">
        <v>5.6000000000000001E-2</v>
      </c>
      <c r="J3" s="4">
        <v>5.8999999999999997E-2</v>
      </c>
      <c r="K3" s="4">
        <v>0.06</v>
      </c>
      <c r="L3" s="4">
        <v>5.8999999999999997E-2</v>
      </c>
      <c r="M3" s="4">
        <v>6.2E-2</v>
      </c>
      <c r="N3" s="5">
        <v>670</v>
      </c>
    </row>
    <row r="4" spans="1:14" x14ac:dyDescent="0.25">
      <c r="A4" s="3" t="s">
        <v>13</v>
      </c>
      <c r="B4" s="4">
        <v>0.28699999999999998</v>
      </c>
      <c r="C4" s="4">
        <v>0.28000000000000003</v>
      </c>
      <c r="D4" s="4">
        <v>0.245</v>
      </c>
      <c r="E4" s="4">
        <v>6.3E-2</v>
      </c>
      <c r="F4" s="4">
        <v>6.2E-2</v>
      </c>
      <c r="G4" s="4">
        <v>6.3E-2</v>
      </c>
      <c r="H4" s="4">
        <v>5.8000000000000003E-2</v>
      </c>
      <c r="I4" s="4">
        <v>5.1999999999999998E-2</v>
      </c>
      <c r="J4" s="4">
        <v>5.6000000000000001E-2</v>
      </c>
      <c r="K4" s="4">
        <v>6.3E-2</v>
      </c>
      <c r="L4" s="4">
        <v>6.0999999999999999E-2</v>
      </c>
      <c r="M4" s="4">
        <v>5.8999999999999997E-2</v>
      </c>
      <c r="N4" s="5">
        <v>670</v>
      </c>
    </row>
    <row r="5" spans="1:14" x14ac:dyDescent="0.25">
      <c r="A5" s="3" t="s">
        <v>14</v>
      </c>
      <c r="B5" s="4">
        <v>0.56299999999999994</v>
      </c>
      <c r="C5" s="4">
        <v>0.52800000000000002</v>
      </c>
      <c r="D5" s="4">
        <v>0.57799999999999996</v>
      </c>
      <c r="E5" s="4">
        <v>7.0000000000000007E-2</v>
      </c>
      <c r="F5" s="4">
        <v>7.0000000000000007E-2</v>
      </c>
      <c r="G5" s="4">
        <v>6.8000000000000005E-2</v>
      </c>
      <c r="H5" s="4">
        <v>0.05</v>
      </c>
      <c r="I5" s="4">
        <v>5.3999999999999999E-2</v>
      </c>
      <c r="J5" s="4">
        <v>5.5E-2</v>
      </c>
      <c r="K5" s="4">
        <v>6.0999999999999999E-2</v>
      </c>
      <c r="L5" s="4">
        <v>0.06</v>
      </c>
      <c r="M5" s="4">
        <v>0.06</v>
      </c>
      <c r="N5" s="5">
        <v>670</v>
      </c>
    </row>
    <row r="6" spans="1:14" x14ac:dyDescent="0.25">
      <c r="A6" s="3" t="s">
        <v>15</v>
      </c>
      <c r="B6" s="4">
        <v>0.81699999999999995</v>
      </c>
      <c r="C6" s="4">
        <v>0.82799999999999996</v>
      </c>
      <c r="D6" s="4">
        <v>0.76100000000000001</v>
      </c>
      <c r="E6" s="4">
        <v>7.5999999999999998E-2</v>
      </c>
      <c r="F6" s="4">
        <v>7.5999999999999998E-2</v>
      </c>
      <c r="G6" s="4">
        <v>7.5999999999999998E-2</v>
      </c>
      <c r="H6" s="4">
        <v>6.6000000000000003E-2</v>
      </c>
      <c r="I6" s="4">
        <v>6.5000000000000002E-2</v>
      </c>
      <c r="J6" s="4">
        <v>6.6000000000000003E-2</v>
      </c>
      <c r="K6" s="4">
        <v>0.08</v>
      </c>
      <c r="L6" s="4">
        <v>7.6999999999999999E-2</v>
      </c>
      <c r="M6" s="4">
        <v>8.3000000000000004E-2</v>
      </c>
      <c r="N6" s="5">
        <v>670</v>
      </c>
    </row>
    <row r="7" spans="1:14" x14ac:dyDescent="0.25">
      <c r="A7" s="3" t="s">
        <v>16</v>
      </c>
      <c r="B7" s="4">
        <v>1.3069999999999999</v>
      </c>
      <c r="C7" s="4">
        <v>1.357</v>
      </c>
      <c r="D7" s="4">
        <v>1.5409999999999999</v>
      </c>
      <c r="E7" s="4">
        <v>5.7000000000000002E-2</v>
      </c>
      <c r="F7" s="4">
        <v>5.6000000000000001E-2</v>
      </c>
      <c r="G7" s="4">
        <v>5.7000000000000002E-2</v>
      </c>
      <c r="H7" s="4">
        <v>6.4000000000000001E-2</v>
      </c>
      <c r="I7" s="4">
        <v>6.5000000000000002E-2</v>
      </c>
      <c r="J7" s="4">
        <v>6.6000000000000003E-2</v>
      </c>
      <c r="K7" s="4">
        <v>0.105</v>
      </c>
      <c r="L7" s="4">
        <v>0.10199999999999999</v>
      </c>
      <c r="M7" s="4">
        <v>0.1</v>
      </c>
      <c r="N7" s="5">
        <v>670</v>
      </c>
    </row>
    <row r="8" spans="1:14" x14ac:dyDescent="0.25">
      <c r="A8" s="3" t="s">
        <v>17</v>
      </c>
      <c r="B8" s="4">
        <v>1.351</v>
      </c>
      <c r="C8" s="4">
        <v>1.427</v>
      </c>
      <c r="D8" s="4">
        <v>1.373</v>
      </c>
      <c r="E8" s="4">
        <v>5.0999999999999997E-2</v>
      </c>
      <c r="F8" s="4">
        <v>5.0999999999999997E-2</v>
      </c>
      <c r="G8" s="4">
        <v>5.8000000000000003E-2</v>
      </c>
      <c r="H8" s="4">
        <v>0.06</v>
      </c>
      <c r="I8" s="4">
        <v>5.2999999999999999E-2</v>
      </c>
      <c r="J8" s="4">
        <v>5.8999999999999997E-2</v>
      </c>
      <c r="K8" s="4">
        <v>0.13600000000000001</v>
      </c>
      <c r="L8" s="4">
        <v>0.13700000000000001</v>
      </c>
      <c r="M8" s="4">
        <v>0.13300000000000001</v>
      </c>
      <c r="N8" s="5">
        <v>670</v>
      </c>
    </row>
    <row r="9" spans="1:14" x14ac:dyDescent="0.25">
      <c r="A9" s="3" t="s">
        <v>18</v>
      </c>
      <c r="B9" s="4">
        <v>1.3720000000000001</v>
      </c>
      <c r="C9" s="4">
        <v>1.387</v>
      </c>
      <c r="D9" s="4">
        <v>1.3360000000000001</v>
      </c>
      <c r="E9" s="4">
        <v>5.1999999999999998E-2</v>
      </c>
      <c r="F9" s="4">
        <v>0.05</v>
      </c>
      <c r="G9" s="4">
        <v>5.1999999999999998E-2</v>
      </c>
      <c r="H9" s="4">
        <v>0.30299999999999999</v>
      </c>
      <c r="I9" s="4">
        <v>0.36</v>
      </c>
      <c r="J9" s="4">
        <v>0.34499999999999997</v>
      </c>
      <c r="K9" s="4">
        <v>0.1</v>
      </c>
      <c r="L9" s="4">
        <v>0.106</v>
      </c>
      <c r="M9" s="4">
        <v>9.9000000000000005E-2</v>
      </c>
      <c r="N9" s="5">
        <v>670</v>
      </c>
    </row>
    <row r="11" spans="1:14" x14ac:dyDescent="0.25">
      <c r="A11" s="2" t="s">
        <v>20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s="7" t="s">
        <v>22</v>
      </c>
      <c r="C12" s="7" t="s">
        <v>22</v>
      </c>
      <c r="D12" s="7" t="s">
        <v>22</v>
      </c>
      <c r="E12" s="7" t="s">
        <v>77</v>
      </c>
      <c r="F12" s="7" t="s">
        <v>77</v>
      </c>
      <c r="G12" s="7" t="s">
        <v>77</v>
      </c>
      <c r="H12" s="7" t="s">
        <v>85</v>
      </c>
      <c r="I12" s="7" t="s">
        <v>85</v>
      </c>
      <c r="J12" s="7" t="s">
        <v>85</v>
      </c>
      <c r="K12" s="7" t="s">
        <v>93</v>
      </c>
      <c r="L12" s="7" t="s">
        <v>93</v>
      </c>
      <c r="M12" s="7" t="s">
        <v>93</v>
      </c>
    </row>
    <row r="13" spans="1:14" x14ac:dyDescent="0.25">
      <c r="A13" s="3" t="s">
        <v>12</v>
      </c>
      <c r="B13" s="7" t="s">
        <v>23</v>
      </c>
      <c r="C13" s="7" t="s">
        <v>23</v>
      </c>
      <c r="D13" s="7" t="s">
        <v>23</v>
      </c>
      <c r="E13" s="7" t="s">
        <v>78</v>
      </c>
      <c r="F13" s="7" t="s">
        <v>78</v>
      </c>
      <c r="G13" s="7" t="s">
        <v>78</v>
      </c>
      <c r="H13" s="7" t="s">
        <v>86</v>
      </c>
      <c r="I13" s="7" t="s">
        <v>86</v>
      </c>
      <c r="J13" s="7" t="s">
        <v>86</v>
      </c>
      <c r="K13" s="7" t="s">
        <v>94</v>
      </c>
      <c r="L13" s="7" t="s">
        <v>94</v>
      </c>
      <c r="M13" s="7" t="s">
        <v>94</v>
      </c>
    </row>
    <row r="14" spans="1:14" x14ac:dyDescent="0.25">
      <c r="A14" s="3" t="s">
        <v>13</v>
      </c>
      <c r="B14" s="7" t="s">
        <v>24</v>
      </c>
      <c r="C14" s="7" t="s">
        <v>24</v>
      </c>
      <c r="D14" s="7" t="s">
        <v>24</v>
      </c>
      <c r="E14" s="7" t="s">
        <v>79</v>
      </c>
      <c r="F14" s="7" t="s">
        <v>79</v>
      </c>
      <c r="G14" s="7" t="s">
        <v>79</v>
      </c>
      <c r="H14" s="7" t="s">
        <v>87</v>
      </c>
      <c r="I14" s="7" t="s">
        <v>87</v>
      </c>
      <c r="J14" s="7" t="s">
        <v>87</v>
      </c>
      <c r="K14" s="7" t="s">
        <v>95</v>
      </c>
      <c r="L14" s="7" t="s">
        <v>95</v>
      </c>
      <c r="M14" s="7" t="s">
        <v>95</v>
      </c>
    </row>
    <row r="15" spans="1:14" x14ac:dyDescent="0.25">
      <c r="A15" s="3" t="s">
        <v>14</v>
      </c>
      <c r="B15" s="7" t="s">
        <v>25</v>
      </c>
      <c r="C15" s="7" t="s">
        <v>25</v>
      </c>
      <c r="D15" s="7" t="s">
        <v>25</v>
      </c>
      <c r="E15" s="7" t="s">
        <v>80</v>
      </c>
      <c r="F15" s="7" t="s">
        <v>80</v>
      </c>
      <c r="G15" s="7" t="s">
        <v>80</v>
      </c>
      <c r="H15" s="7" t="s">
        <v>88</v>
      </c>
      <c r="I15" s="7" t="s">
        <v>88</v>
      </c>
      <c r="J15" s="7" t="s">
        <v>88</v>
      </c>
      <c r="K15" s="7" t="s">
        <v>96</v>
      </c>
      <c r="L15" s="7" t="s">
        <v>96</v>
      </c>
      <c r="M15" s="7" t="s">
        <v>96</v>
      </c>
    </row>
    <row r="16" spans="1:14" x14ac:dyDescent="0.25">
      <c r="A16" s="3" t="s">
        <v>15</v>
      </c>
      <c r="B16" s="7" t="s">
        <v>26</v>
      </c>
      <c r="C16" s="7" t="s">
        <v>26</v>
      </c>
      <c r="D16" s="7" t="s">
        <v>26</v>
      </c>
      <c r="E16" s="7" t="s">
        <v>81</v>
      </c>
      <c r="F16" s="7" t="s">
        <v>81</v>
      </c>
      <c r="G16" s="7" t="s">
        <v>81</v>
      </c>
      <c r="H16" s="7" t="s">
        <v>89</v>
      </c>
      <c r="I16" s="7" t="s">
        <v>89</v>
      </c>
      <c r="J16" s="7" t="s">
        <v>89</v>
      </c>
      <c r="K16" s="7" t="s">
        <v>97</v>
      </c>
      <c r="L16" s="7" t="s">
        <v>97</v>
      </c>
      <c r="M16" s="7" t="s">
        <v>97</v>
      </c>
    </row>
    <row r="17" spans="1:13" x14ac:dyDescent="0.25">
      <c r="A17" s="3" t="s">
        <v>16</v>
      </c>
      <c r="B17" s="7" t="s">
        <v>27</v>
      </c>
      <c r="C17" s="7" t="s">
        <v>27</v>
      </c>
      <c r="D17" s="7" t="s">
        <v>27</v>
      </c>
      <c r="E17" s="7" t="s">
        <v>82</v>
      </c>
      <c r="F17" s="7" t="s">
        <v>82</v>
      </c>
      <c r="G17" s="7" t="s">
        <v>82</v>
      </c>
      <c r="H17" s="7" t="s">
        <v>91</v>
      </c>
      <c r="I17" s="7" t="s">
        <v>91</v>
      </c>
      <c r="J17" s="7" t="s">
        <v>91</v>
      </c>
      <c r="K17" s="7" t="s">
        <v>98</v>
      </c>
      <c r="L17" s="7" t="s">
        <v>98</v>
      </c>
      <c r="M17" s="7" t="s">
        <v>98</v>
      </c>
    </row>
    <row r="18" spans="1:13" x14ac:dyDescent="0.25">
      <c r="A18" s="3" t="s">
        <v>17</v>
      </c>
      <c r="B18" s="7" t="s">
        <v>28</v>
      </c>
      <c r="C18" s="7" t="s">
        <v>28</v>
      </c>
      <c r="D18" s="7" t="s">
        <v>28</v>
      </c>
      <c r="E18" s="7" t="s">
        <v>83</v>
      </c>
      <c r="F18" s="7" t="s">
        <v>83</v>
      </c>
      <c r="G18" s="7" t="s">
        <v>83</v>
      </c>
      <c r="H18" s="7" t="s">
        <v>90</v>
      </c>
      <c r="I18" s="7" t="s">
        <v>90</v>
      </c>
      <c r="J18" s="7" t="s">
        <v>90</v>
      </c>
      <c r="K18" s="7" t="s">
        <v>99</v>
      </c>
      <c r="L18" s="7" t="s">
        <v>99</v>
      </c>
      <c r="M18" s="7" t="s">
        <v>99</v>
      </c>
    </row>
    <row r="19" spans="1:13" x14ac:dyDescent="0.25">
      <c r="A19" s="3" t="s">
        <v>18</v>
      </c>
      <c r="B19" s="7" t="s">
        <v>29</v>
      </c>
      <c r="C19" s="7" t="s">
        <v>29</v>
      </c>
      <c r="D19" s="7" t="s">
        <v>29</v>
      </c>
      <c r="E19" s="7" t="s">
        <v>84</v>
      </c>
      <c r="F19" s="7" t="s">
        <v>84</v>
      </c>
      <c r="G19" s="7" t="s">
        <v>84</v>
      </c>
      <c r="H19" s="7" t="s">
        <v>92</v>
      </c>
      <c r="I19" s="7" t="s">
        <v>92</v>
      </c>
      <c r="J19" s="7" t="s">
        <v>92</v>
      </c>
      <c r="K19" s="7" t="s">
        <v>100</v>
      </c>
      <c r="L19" s="7" t="s">
        <v>100</v>
      </c>
      <c r="M19" s="7" t="s">
        <v>100</v>
      </c>
    </row>
    <row r="21" spans="1:13" ht="30" x14ac:dyDescent="0.25">
      <c r="A21" s="2" t="s">
        <v>21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</row>
    <row r="23" spans="1:13" x14ac:dyDescent="0.25">
      <c r="A23" s="3" t="s">
        <v>12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</row>
    <row r="24" spans="1:13" x14ac:dyDescent="0.25">
      <c r="A24" s="3" t="s">
        <v>13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</row>
    <row r="25" spans="1:13" x14ac:dyDescent="0.25">
      <c r="A25" s="3" t="s">
        <v>14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</row>
    <row r="26" spans="1:13" x14ac:dyDescent="0.25">
      <c r="A26" s="3" t="s">
        <v>15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</row>
    <row r="27" spans="1:13" x14ac:dyDescent="0.25">
      <c r="A27" s="3" t="s">
        <v>16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</row>
    <row r="28" spans="1:13" x14ac:dyDescent="0.25">
      <c r="A28" s="3" t="s">
        <v>17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25">
      <c r="A29" s="3" t="s">
        <v>18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9904-4BAA-4094-AFD8-D9BAC6E9D464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0.05</v>
      </c>
      <c r="C2" s="4">
        <v>5.7000000000000002E-2</v>
      </c>
      <c r="D2" s="4">
        <v>0.05</v>
      </c>
      <c r="E2" s="4">
        <v>8.1000000000000003E-2</v>
      </c>
      <c r="F2" s="4">
        <v>8.3000000000000004E-2</v>
      </c>
      <c r="G2" s="4">
        <v>8.2000000000000003E-2</v>
      </c>
      <c r="H2" s="4">
        <v>6.8000000000000005E-2</v>
      </c>
      <c r="I2" s="4">
        <v>6.9000000000000006E-2</v>
      </c>
      <c r="J2" s="4">
        <v>7.3999999999999996E-2</v>
      </c>
      <c r="K2" s="4">
        <v>0.19900000000000001</v>
      </c>
      <c r="L2" s="4">
        <v>0.2</v>
      </c>
      <c r="M2" s="4">
        <v>0.184</v>
      </c>
      <c r="N2" s="5">
        <v>670</v>
      </c>
    </row>
    <row r="3" spans="1:14" x14ac:dyDescent="0.25">
      <c r="A3" s="3" t="s">
        <v>12</v>
      </c>
      <c r="B3" s="4">
        <v>0.14899999999999999</v>
      </c>
      <c r="C3" s="4">
        <v>0.14799999999999999</v>
      </c>
      <c r="D3" s="4">
        <v>0.122</v>
      </c>
      <c r="E3" s="4">
        <v>0.14799999999999999</v>
      </c>
      <c r="F3" s="4">
        <v>0.155</v>
      </c>
      <c r="G3" s="4">
        <v>0.14899999999999999</v>
      </c>
      <c r="H3" s="4">
        <v>0.40300000000000002</v>
      </c>
      <c r="I3" s="4">
        <v>0.35199999999999998</v>
      </c>
      <c r="J3" s="4">
        <v>0.375</v>
      </c>
      <c r="K3" s="4">
        <v>0.23799999999999999</v>
      </c>
      <c r="L3" s="4">
        <v>0.24199999999999999</v>
      </c>
      <c r="M3" s="4">
        <v>0.246</v>
      </c>
      <c r="N3" s="5">
        <v>670</v>
      </c>
    </row>
    <row r="4" spans="1:14" x14ac:dyDescent="0.25">
      <c r="A4" s="3" t="s">
        <v>13</v>
      </c>
      <c r="B4" s="4">
        <v>0.25600000000000001</v>
      </c>
      <c r="C4" s="4">
        <v>0.26800000000000002</v>
      </c>
      <c r="D4" s="4">
        <v>0.27900000000000003</v>
      </c>
      <c r="E4" s="4">
        <v>0.13600000000000001</v>
      </c>
      <c r="F4" s="4">
        <v>0.13800000000000001</v>
      </c>
      <c r="G4" s="4">
        <v>0.152</v>
      </c>
      <c r="H4" s="4">
        <v>1.18</v>
      </c>
      <c r="I4" s="4">
        <v>1.3240000000000001</v>
      </c>
      <c r="J4" s="4">
        <v>1.091</v>
      </c>
      <c r="K4" s="4">
        <v>0.246</v>
      </c>
      <c r="L4" s="4">
        <v>0.26900000000000002</v>
      </c>
      <c r="M4" s="4">
        <v>0.24399999999999999</v>
      </c>
      <c r="N4" s="5">
        <v>670</v>
      </c>
    </row>
    <row r="5" spans="1:14" x14ac:dyDescent="0.25">
      <c r="A5" s="3" t="s">
        <v>14</v>
      </c>
      <c r="B5" s="4">
        <v>0.55600000000000005</v>
      </c>
      <c r="C5" s="4">
        <v>0.48199999999999998</v>
      </c>
      <c r="D5" s="4">
        <v>0.46700000000000003</v>
      </c>
      <c r="E5" s="4">
        <v>0.23100000000000001</v>
      </c>
      <c r="F5" s="4">
        <v>0.23599999999999999</v>
      </c>
      <c r="G5" s="4">
        <v>0.22700000000000001</v>
      </c>
      <c r="H5" s="4">
        <v>5.6000000000000001E-2</v>
      </c>
      <c r="I5" s="4">
        <v>5.1999999999999998E-2</v>
      </c>
      <c r="J5" s="4">
        <v>5.0999999999999997E-2</v>
      </c>
      <c r="K5" s="4">
        <v>0.186</v>
      </c>
      <c r="L5" s="4">
        <v>0.183</v>
      </c>
      <c r="M5" s="4">
        <v>0.188</v>
      </c>
      <c r="N5" s="5">
        <v>670</v>
      </c>
    </row>
    <row r="6" spans="1:14" x14ac:dyDescent="0.25">
      <c r="A6" s="3" t="s">
        <v>15</v>
      </c>
      <c r="B6" s="4">
        <v>0.75700000000000001</v>
      </c>
      <c r="C6" s="4">
        <v>0.81299999999999994</v>
      </c>
      <c r="D6" s="4">
        <v>0.76300000000000001</v>
      </c>
      <c r="E6" s="4">
        <v>0.73299999999999998</v>
      </c>
      <c r="F6" s="4">
        <v>0.78700000000000003</v>
      </c>
      <c r="G6" s="4">
        <v>0.85199999999999998</v>
      </c>
      <c r="H6" s="4">
        <v>0.1</v>
      </c>
      <c r="I6" s="4">
        <v>9.5000000000000001E-2</v>
      </c>
      <c r="J6" s="4">
        <v>9.2999999999999999E-2</v>
      </c>
      <c r="K6" s="4">
        <v>0.254</v>
      </c>
      <c r="L6" s="4">
        <v>0.26900000000000002</v>
      </c>
      <c r="M6" s="4">
        <v>0.24</v>
      </c>
      <c r="N6" s="5">
        <v>670</v>
      </c>
    </row>
    <row r="7" spans="1:14" x14ac:dyDescent="0.25">
      <c r="A7" s="3" t="s">
        <v>16</v>
      </c>
      <c r="B7" s="4">
        <v>1.5289999999999999</v>
      </c>
      <c r="C7" s="4">
        <v>1.3380000000000001</v>
      </c>
      <c r="D7" s="4">
        <v>1.131</v>
      </c>
      <c r="E7" s="4">
        <v>9.7000000000000003E-2</v>
      </c>
      <c r="F7" s="4">
        <v>9.8000000000000004E-2</v>
      </c>
      <c r="G7" s="4">
        <v>9.6000000000000002E-2</v>
      </c>
      <c r="H7" s="4">
        <v>8.8999999999999996E-2</v>
      </c>
      <c r="I7" s="4">
        <v>9.5000000000000001E-2</v>
      </c>
      <c r="J7" s="4">
        <v>9.5000000000000001E-2</v>
      </c>
      <c r="K7" s="4">
        <v>0.17699999999999999</v>
      </c>
      <c r="L7" s="4">
        <v>0.17899999999999999</v>
      </c>
      <c r="M7" s="4">
        <v>0.186</v>
      </c>
      <c r="N7" s="5">
        <v>670</v>
      </c>
    </row>
    <row r="8" spans="1:14" x14ac:dyDescent="0.25">
      <c r="A8" s="3" t="s">
        <v>17</v>
      </c>
      <c r="B8" s="4">
        <v>1.341</v>
      </c>
      <c r="C8" s="4">
        <v>1.4670000000000001</v>
      </c>
      <c r="D8" s="4">
        <v>1.49</v>
      </c>
      <c r="E8" s="4">
        <v>0.221</v>
      </c>
      <c r="F8" s="4">
        <v>0.217</v>
      </c>
      <c r="G8" s="4">
        <v>0.221</v>
      </c>
      <c r="H8" s="4">
        <v>1.2949999999999999</v>
      </c>
      <c r="I8" s="4">
        <v>1.37</v>
      </c>
      <c r="J8" s="4">
        <v>1.337</v>
      </c>
      <c r="K8" s="4">
        <v>0.27200000000000002</v>
      </c>
      <c r="L8" s="4">
        <v>0.249</v>
      </c>
      <c r="M8" s="4">
        <v>0.246</v>
      </c>
      <c r="N8" s="5">
        <v>670</v>
      </c>
    </row>
    <row r="9" spans="1:14" x14ac:dyDescent="0.25">
      <c r="A9" s="3" t="s">
        <v>18</v>
      </c>
      <c r="B9" s="4">
        <v>1.647</v>
      </c>
      <c r="C9" s="4">
        <v>1.415</v>
      </c>
      <c r="D9" s="4">
        <v>1.6040000000000001</v>
      </c>
      <c r="E9" s="4">
        <v>0.69499999999999995</v>
      </c>
      <c r="F9" s="4">
        <v>0.748</v>
      </c>
      <c r="G9" s="4">
        <v>0.74199999999999999</v>
      </c>
      <c r="H9" s="4">
        <v>1.087</v>
      </c>
      <c r="I9" s="4">
        <v>1.6970000000000001</v>
      </c>
      <c r="J9" s="4">
        <v>1.2230000000000001</v>
      </c>
      <c r="K9" s="4">
        <v>0.214</v>
      </c>
      <c r="L9" s="4">
        <v>0.221</v>
      </c>
      <c r="M9" s="4">
        <v>0.193</v>
      </c>
      <c r="N9" s="5">
        <v>670</v>
      </c>
    </row>
    <row r="11" spans="1:14" x14ac:dyDescent="0.25">
      <c r="A11" s="2" t="s">
        <v>20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s="7" t="s">
        <v>22</v>
      </c>
      <c r="C12" s="7" t="s">
        <v>22</v>
      </c>
      <c r="D12" s="7" t="s">
        <v>22</v>
      </c>
      <c r="E12" s="7" t="s">
        <v>101</v>
      </c>
      <c r="F12" s="7" t="s">
        <v>101</v>
      </c>
      <c r="G12" s="7" t="s">
        <v>101</v>
      </c>
      <c r="H12" s="7" t="s">
        <v>109</v>
      </c>
      <c r="I12" s="7" t="s">
        <v>109</v>
      </c>
      <c r="J12" s="7" t="s">
        <v>109</v>
      </c>
      <c r="K12" s="7" t="s">
        <v>117</v>
      </c>
      <c r="L12" s="7" t="s">
        <v>117</v>
      </c>
      <c r="M12" s="7" t="s">
        <v>117</v>
      </c>
    </row>
    <row r="13" spans="1:14" x14ac:dyDescent="0.25">
      <c r="A13" s="3" t="s">
        <v>12</v>
      </c>
      <c r="B13" s="7" t="s">
        <v>23</v>
      </c>
      <c r="C13" s="7" t="s">
        <v>23</v>
      </c>
      <c r="D13" s="7" t="s">
        <v>23</v>
      </c>
      <c r="E13" s="7" t="s">
        <v>102</v>
      </c>
      <c r="F13" s="7" t="s">
        <v>102</v>
      </c>
      <c r="G13" s="7" t="s">
        <v>102</v>
      </c>
      <c r="H13" s="7" t="s">
        <v>111</v>
      </c>
      <c r="I13" s="7" t="s">
        <v>111</v>
      </c>
      <c r="J13" s="7" t="s">
        <v>111</v>
      </c>
      <c r="K13" s="7" t="s">
        <v>120</v>
      </c>
      <c r="L13" s="7" t="s">
        <v>120</v>
      </c>
      <c r="M13" s="7" t="s">
        <v>120</v>
      </c>
    </row>
    <row r="14" spans="1:14" x14ac:dyDescent="0.25">
      <c r="A14" s="3" t="s">
        <v>13</v>
      </c>
      <c r="B14" s="7" t="s">
        <v>24</v>
      </c>
      <c r="C14" s="7" t="s">
        <v>24</v>
      </c>
      <c r="D14" s="7" t="s">
        <v>24</v>
      </c>
      <c r="E14" s="7" t="s">
        <v>104</v>
      </c>
      <c r="F14" s="7" t="s">
        <v>104</v>
      </c>
      <c r="G14" s="7" t="s">
        <v>104</v>
      </c>
      <c r="H14" s="7" t="s">
        <v>112</v>
      </c>
      <c r="I14" s="7" t="s">
        <v>112</v>
      </c>
      <c r="J14" s="7" t="s">
        <v>112</v>
      </c>
      <c r="K14" s="7" t="s">
        <v>121</v>
      </c>
      <c r="L14" s="7" t="s">
        <v>121</v>
      </c>
      <c r="M14" s="7" t="s">
        <v>121</v>
      </c>
    </row>
    <row r="15" spans="1:14" x14ac:dyDescent="0.25">
      <c r="A15" s="3" t="s">
        <v>14</v>
      </c>
      <c r="B15" s="7" t="s">
        <v>25</v>
      </c>
      <c r="C15" s="7" t="s">
        <v>25</v>
      </c>
      <c r="D15" s="7" t="s">
        <v>25</v>
      </c>
      <c r="E15" s="7" t="s">
        <v>103</v>
      </c>
      <c r="F15" s="7" t="s">
        <v>103</v>
      </c>
      <c r="G15" s="7" t="s">
        <v>103</v>
      </c>
      <c r="H15" s="7" t="s">
        <v>110</v>
      </c>
      <c r="I15" s="7" t="s">
        <v>110</v>
      </c>
      <c r="J15" s="7" t="s">
        <v>110</v>
      </c>
      <c r="K15" s="7" t="s">
        <v>122</v>
      </c>
      <c r="L15" s="7" t="s">
        <v>122</v>
      </c>
      <c r="M15" s="7" t="s">
        <v>122</v>
      </c>
    </row>
    <row r="16" spans="1:14" x14ac:dyDescent="0.25">
      <c r="A16" s="3" t="s">
        <v>15</v>
      </c>
      <c r="B16" s="7" t="s">
        <v>26</v>
      </c>
      <c r="C16" s="7" t="s">
        <v>26</v>
      </c>
      <c r="D16" s="7" t="s">
        <v>26</v>
      </c>
      <c r="E16" s="7" t="s">
        <v>105</v>
      </c>
      <c r="F16" s="7" t="s">
        <v>105</v>
      </c>
      <c r="G16" s="7" t="s">
        <v>105</v>
      </c>
      <c r="H16" s="7" t="s">
        <v>113</v>
      </c>
      <c r="I16" s="7" t="s">
        <v>113</v>
      </c>
      <c r="J16" s="7" t="s">
        <v>113</v>
      </c>
      <c r="K16" s="7" t="s">
        <v>118</v>
      </c>
      <c r="L16" s="7" t="s">
        <v>118</v>
      </c>
      <c r="M16" s="7" t="s">
        <v>118</v>
      </c>
    </row>
    <row r="17" spans="1:13" x14ac:dyDescent="0.25">
      <c r="A17" s="3" t="s">
        <v>16</v>
      </c>
      <c r="B17" s="7" t="s">
        <v>27</v>
      </c>
      <c r="C17" s="7" t="s">
        <v>27</v>
      </c>
      <c r="D17" s="7" t="s">
        <v>27</v>
      </c>
      <c r="E17" s="7" t="s">
        <v>106</v>
      </c>
      <c r="F17" s="7" t="s">
        <v>106</v>
      </c>
      <c r="G17" s="7" t="s">
        <v>106</v>
      </c>
      <c r="H17" s="7" t="s">
        <v>114</v>
      </c>
      <c r="I17" s="7" t="s">
        <v>114</v>
      </c>
      <c r="J17" s="7" t="s">
        <v>114</v>
      </c>
      <c r="K17" s="7" t="s">
        <v>123</v>
      </c>
      <c r="L17" s="7" t="s">
        <v>123</v>
      </c>
      <c r="M17" s="7" t="s">
        <v>123</v>
      </c>
    </row>
    <row r="18" spans="1:13" x14ac:dyDescent="0.25">
      <c r="A18" s="3" t="s">
        <v>17</v>
      </c>
      <c r="B18" s="7" t="s">
        <v>28</v>
      </c>
      <c r="C18" s="7" t="s">
        <v>28</v>
      </c>
      <c r="D18" s="7" t="s">
        <v>28</v>
      </c>
      <c r="E18" s="7" t="s">
        <v>107</v>
      </c>
      <c r="F18" s="7" t="s">
        <v>107</v>
      </c>
      <c r="G18" s="7" t="s">
        <v>107</v>
      </c>
      <c r="H18" s="7" t="s">
        <v>115</v>
      </c>
      <c r="I18" s="7" t="s">
        <v>115</v>
      </c>
      <c r="J18" s="7" t="s">
        <v>115</v>
      </c>
      <c r="K18" s="7" t="s">
        <v>124</v>
      </c>
      <c r="L18" s="7" t="s">
        <v>124</v>
      </c>
      <c r="M18" s="7" t="s">
        <v>124</v>
      </c>
    </row>
    <row r="19" spans="1:13" x14ac:dyDescent="0.25">
      <c r="A19" s="3" t="s">
        <v>18</v>
      </c>
      <c r="B19" s="7" t="s">
        <v>29</v>
      </c>
      <c r="C19" s="7" t="s">
        <v>29</v>
      </c>
      <c r="D19" s="7" t="s">
        <v>29</v>
      </c>
      <c r="E19" s="7" t="s">
        <v>108</v>
      </c>
      <c r="F19" s="7" t="s">
        <v>108</v>
      </c>
      <c r="G19" s="7" t="s">
        <v>108</v>
      </c>
      <c r="H19" s="7" t="s">
        <v>116</v>
      </c>
      <c r="I19" s="7" t="s">
        <v>116</v>
      </c>
      <c r="J19" s="7" t="s">
        <v>116</v>
      </c>
      <c r="K19" s="7" t="s">
        <v>125</v>
      </c>
      <c r="L19" s="7" t="s">
        <v>125</v>
      </c>
      <c r="M19" s="7" t="s">
        <v>125</v>
      </c>
    </row>
    <row r="21" spans="1:13" ht="30" x14ac:dyDescent="0.25">
      <c r="A21" s="2" t="s">
        <v>21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</row>
    <row r="23" spans="1:13" x14ac:dyDescent="0.25">
      <c r="A23" s="3" t="s">
        <v>12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</row>
    <row r="24" spans="1:13" x14ac:dyDescent="0.25">
      <c r="A24" s="3" t="s">
        <v>13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</row>
    <row r="25" spans="1:13" x14ac:dyDescent="0.25">
      <c r="A25" s="3" t="s">
        <v>14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</row>
    <row r="26" spans="1:13" x14ac:dyDescent="0.25">
      <c r="A26" s="3" t="s">
        <v>15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</row>
    <row r="27" spans="1:13" x14ac:dyDescent="0.25">
      <c r="A27" s="3" t="s">
        <v>16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</row>
    <row r="28" spans="1:13" x14ac:dyDescent="0.25">
      <c r="A28" s="3" t="s">
        <v>17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25">
      <c r="A29" s="3" t="s">
        <v>18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F2EC-93B9-4113-A621-ED330CB1C7DB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5.0999999999999997E-2</v>
      </c>
      <c r="C2" s="4">
        <v>5.5E-2</v>
      </c>
      <c r="D2" s="4">
        <v>4.7E-2</v>
      </c>
      <c r="E2" s="4">
        <v>0.182</v>
      </c>
      <c r="F2" s="4">
        <v>0.28599999999999998</v>
      </c>
      <c r="G2" s="4">
        <v>0.25</v>
      </c>
      <c r="H2" s="4">
        <v>5.6000000000000001E-2</v>
      </c>
      <c r="I2" s="4">
        <v>0.06</v>
      </c>
      <c r="J2" s="4">
        <v>0.06</v>
      </c>
      <c r="K2" s="4">
        <v>6.4000000000000001E-2</v>
      </c>
      <c r="L2" s="4">
        <v>6.2E-2</v>
      </c>
      <c r="M2" s="4">
        <v>6.5000000000000002E-2</v>
      </c>
      <c r="N2" s="5">
        <v>670</v>
      </c>
    </row>
    <row r="3" spans="1:14" x14ac:dyDescent="0.25">
      <c r="A3" s="3" t="s">
        <v>12</v>
      </c>
      <c r="B3" s="4">
        <v>0.16</v>
      </c>
      <c r="C3" s="4">
        <v>0.13700000000000001</v>
      </c>
      <c r="D3" s="4">
        <v>0.129</v>
      </c>
      <c r="E3" s="4">
        <v>5.1999999999999998E-2</v>
      </c>
      <c r="F3" s="4">
        <v>5.3999999999999999E-2</v>
      </c>
      <c r="G3" s="4">
        <v>5.8000000000000003E-2</v>
      </c>
      <c r="H3" s="4">
        <v>8.5000000000000006E-2</v>
      </c>
      <c r="I3" s="4">
        <v>8.2000000000000003E-2</v>
      </c>
      <c r="J3" s="4">
        <v>8.2000000000000003E-2</v>
      </c>
      <c r="K3" s="4">
        <v>0.06</v>
      </c>
      <c r="L3" s="4">
        <v>6.0999999999999999E-2</v>
      </c>
      <c r="M3" s="4">
        <v>6.2E-2</v>
      </c>
      <c r="N3" s="5">
        <v>670</v>
      </c>
    </row>
    <row r="4" spans="1:14" x14ac:dyDescent="0.25">
      <c r="A4" s="3" t="s">
        <v>13</v>
      </c>
      <c r="B4" s="4">
        <v>0.27600000000000002</v>
      </c>
      <c r="C4" s="4">
        <v>0.252</v>
      </c>
      <c r="D4" s="4">
        <v>0.28199999999999997</v>
      </c>
      <c r="E4" s="4">
        <v>5.0999999999999997E-2</v>
      </c>
      <c r="F4" s="4">
        <v>5.3999999999999999E-2</v>
      </c>
      <c r="G4" s="4">
        <v>5.8999999999999997E-2</v>
      </c>
      <c r="H4" s="4">
        <v>0.23799999999999999</v>
      </c>
      <c r="I4" s="4">
        <v>0.249</v>
      </c>
      <c r="J4" s="4">
        <v>0.23699999999999999</v>
      </c>
      <c r="K4" s="4">
        <v>0.25</v>
      </c>
      <c r="L4" s="4">
        <v>0.25</v>
      </c>
      <c r="M4" s="4">
        <v>0.313</v>
      </c>
      <c r="N4" s="5">
        <v>670</v>
      </c>
    </row>
    <row r="5" spans="1:14" x14ac:dyDescent="0.25">
      <c r="A5" s="3" t="s">
        <v>14</v>
      </c>
      <c r="B5" s="4">
        <v>0.441</v>
      </c>
      <c r="C5" s="4">
        <v>0.498</v>
      </c>
      <c r="D5" s="4">
        <v>0.501</v>
      </c>
      <c r="E5" s="4">
        <v>5.5E-2</v>
      </c>
      <c r="F5" s="4">
        <v>5.6000000000000001E-2</v>
      </c>
      <c r="G5" s="4">
        <v>5.5E-2</v>
      </c>
      <c r="H5" s="4">
        <v>6.0999999999999999E-2</v>
      </c>
      <c r="I5" s="4">
        <v>6.4000000000000001E-2</v>
      </c>
      <c r="J5" s="4">
        <v>6.3E-2</v>
      </c>
      <c r="K5" s="4">
        <v>6.3E-2</v>
      </c>
      <c r="L5" s="4">
        <v>5.8999999999999997E-2</v>
      </c>
      <c r="M5" s="4">
        <v>0.06</v>
      </c>
      <c r="N5" s="5">
        <v>670</v>
      </c>
    </row>
    <row r="6" spans="1:14" x14ac:dyDescent="0.25">
      <c r="A6" s="3" t="s">
        <v>15</v>
      </c>
      <c r="B6" s="4">
        <v>0.85</v>
      </c>
      <c r="C6" s="4">
        <v>0.88500000000000001</v>
      </c>
      <c r="D6" s="4">
        <v>0.84599999999999997</v>
      </c>
      <c r="E6" s="4">
        <v>0.11799999999999999</v>
      </c>
      <c r="F6" s="4">
        <v>0.1</v>
      </c>
      <c r="G6" s="4">
        <v>0.121</v>
      </c>
      <c r="H6" s="4">
        <v>5.5E-2</v>
      </c>
      <c r="I6" s="4">
        <v>6.9000000000000006E-2</v>
      </c>
      <c r="J6" s="4">
        <v>6.6000000000000003E-2</v>
      </c>
      <c r="K6" s="4">
        <v>5.8999999999999997E-2</v>
      </c>
      <c r="L6" s="4">
        <v>5.6000000000000001E-2</v>
      </c>
      <c r="M6" s="4">
        <v>7.0000000000000007E-2</v>
      </c>
      <c r="N6" s="5">
        <v>670</v>
      </c>
    </row>
    <row r="7" spans="1:14" x14ac:dyDescent="0.25">
      <c r="A7" s="3" t="s">
        <v>16</v>
      </c>
      <c r="B7" s="4">
        <v>1.468</v>
      </c>
      <c r="C7" s="4">
        <v>1.3360000000000001</v>
      </c>
      <c r="D7" s="4">
        <v>1.522</v>
      </c>
      <c r="E7" s="4">
        <v>5.6000000000000001E-2</v>
      </c>
      <c r="F7" s="4">
        <v>0.06</v>
      </c>
      <c r="G7" s="4">
        <v>5.5E-2</v>
      </c>
      <c r="H7" s="4">
        <v>6.4000000000000001E-2</v>
      </c>
      <c r="I7" s="4">
        <v>6.6000000000000003E-2</v>
      </c>
      <c r="J7" s="4">
        <v>6.5000000000000002E-2</v>
      </c>
      <c r="K7" s="4">
        <v>0.129</v>
      </c>
      <c r="L7" s="4">
        <v>0.16</v>
      </c>
      <c r="M7" s="4">
        <v>0.17100000000000001</v>
      </c>
      <c r="N7" s="5">
        <v>670</v>
      </c>
    </row>
    <row r="8" spans="1:14" x14ac:dyDescent="0.25">
      <c r="A8" s="3" t="s">
        <v>17</v>
      </c>
      <c r="B8" s="4">
        <v>1.462</v>
      </c>
      <c r="C8" s="4">
        <v>1.3660000000000001</v>
      </c>
      <c r="D8" s="4">
        <v>1.1379999999999999</v>
      </c>
      <c r="E8" s="4">
        <v>6.3E-2</v>
      </c>
      <c r="F8" s="4">
        <v>6.2E-2</v>
      </c>
      <c r="G8" s="4">
        <v>6.3E-2</v>
      </c>
      <c r="H8" s="4">
        <v>0.11</v>
      </c>
      <c r="I8" s="4">
        <v>0.1</v>
      </c>
      <c r="J8" s="4">
        <v>0.111</v>
      </c>
      <c r="K8" s="4">
        <v>6.4000000000000001E-2</v>
      </c>
      <c r="L8" s="4">
        <v>6.3E-2</v>
      </c>
      <c r="M8" s="4">
        <v>7.0999999999999994E-2</v>
      </c>
      <c r="N8" s="5">
        <v>670</v>
      </c>
    </row>
    <row r="9" spans="1:14" x14ac:dyDescent="0.25">
      <c r="A9" s="3" t="s">
        <v>18</v>
      </c>
      <c r="B9" s="4">
        <v>1.427</v>
      </c>
      <c r="C9" s="4">
        <v>1.2629999999999999</v>
      </c>
      <c r="D9" s="4">
        <v>1.343</v>
      </c>
      <c r="E9" s="4">
        <v>7.4999999999999997E-2</v>
      </c>
      <c r="F9" s="4">
        <v>7.3999999999999996E-2</v>
      </c>
      <c r="G9" s="4">
        <v>7.2999999999999995E-2</v>
      </c>
      <c r="H9" s="4">
        <v>0.32800000000000001</v>
      </c>
      <c r="I9" s="4">
        <v>0.38300000000000001</v>
      </c>
      <c r="J9" s="4">
        <v>0.436</v>
      </c>
      <c r="K9" s="4">
        <v>2.145</v>
      </c>
      <c r="L9" s="4">
        <v>1.6679999999999999</v>
      </c>
      <c r="M9" s="4">
        <v>1.7809999999999999</v>
      </c>
      <c r="N9" s="5">
        <v>670</v>
      </c>
    </row>
    <row r="11" spans="1:14" x14ac:dyDescent="0.25">
      <c r="A11" s="2" t="s">
        <v>20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s="7" t="s">
        <v>22</v>
      </c>
      <c r="C12" s="7" t="s">
        <v>22</v>
      </c>
      <c r="D12" s="7" t="s">
        <v>22</v>
      </c>
      <c r="E12" s="7" t="s">
        <v>119</v>
      </c>
      <c r="F12" s="7" t="s">
        <v>119</v>
      </c>
      <c r="G12" s="7" t="s">
        <v>119</v>
      </c>
      <c r="H12" s="7" t="s">
        <v>133</v>
      </c>
      <c r="I12" s="7" t="s">
        <v>133</v>
      </c>
      <c r="J12" s="7" t="s">
        <v>133</v>
      </c>
      <c r="K12" s="7" t="s">
        <v>141</v>
      </c>
      <c r="L12" s="7" t="s">
        <v>141</v>
      </c>
      <c r="M12" s="7" t="s">
        <v>141</v>
      </c>
    </row>
    <row r="13" spans="1:14" x14ac:dyDescent="0.25">
      <c r="A13" s="3" t="s">
        <v>12</v>
      </c>
      <c r="B13" s="7" t="s">
        <v>23</v>
      </c>
      <c r="C13" s="7" t="s">
        <v>23</v>
      </c>
      <c r="D13" s="7" t="s">
        <v>23</v>
      </c>
      <c r="E13" s="7" t="s">
        <v>126</v>
      </c>
      <c r="F13" s="7" t="s">
        <v>126</v>
      </c>
      <c r="G13" s="7" t="s">
        <v>126</v>
      </c>
      <c r="H13" s="7" t="s">
        <v>134</v>
      </c>
      <c r="I13" s="7" t="s">
        <v>134</v>
      </c>
      <c r="J13" s="7" t="s">
        <v>134</v>
      </c>
      <c r="K13" s="7" t="s">
        <v>142</v>
      </c>
      <c r="L13" s="7" t="s">
        <v>142</v>
      </c>
      <c r="M13" s="7" t="s">
        <v>142</v>
      </c>
    </row>
    <row r="14" spans="1:14" x14ac:dyDescent="0.25">
      <c r="A14" s="3" t="s">
        <v>13</v>
      </c>
      <c r="B14" s="7" t="s">
        <v>24</v>
      </c>
      <c r="C14" s="7" t="s">
        <v>24</v>
      </c>
      <c r="D14" s="7" t="s">
        <v>24</v>
      </c>
      <c r="E14" s="7" t="s">
        <v>127</v>
      </c>
      <c r="F14" s="7" t="s">
        <v>127</v>
      </c>
      <c r="G14" s="7" t="s">
        <v>127</v>
      </c>
      <c r="H14" s="7" t="s">
        <v>135</v>
      </c>
      <c r="I14" s="7" t="s">
        <v>135</v>
      </c>
      <c r="J14" s="7" t="s">
        <v>135</v>
      </c>
      <c r="K14" s="7" t="s">
        <v>144</v>
      </c>
      <c r="L14" s="7" t="s">
        <v>144</v>
      </c>
      <c r="M14" s="7" t="s">
        <v>144</v>
      </c>
    </row>
    <row r="15" spans="1:14" x14ac:dyDescent="0.25">
      <c r="A15" s="3" t="s">
        <v>14</v>
      </c>
      <c r="B15" s="7" t="s">
        <v>25</v>
      </c>
      <c r="C15" s="7" t="s">
        <v>25</v>
      </c>
      <c r="D15" s="7" t="s">
        <v>25</v>
      </c>
      <c r="E15" s="7" t="s">
        <v>128</v>
      </c>
      <c r="F15" s="7" t="s">
        <v>128</v>
      </c>
      <c r="G15" s="7" t="s">
        <v>128</v>
      </c>
      <c r="H15" s="7" t="s">
        <v>138</v>
      </c>
      <c r="I15" s="7" t="s">
        <v>138</v>
      </c>
      <c r="J15" s="7" t="s">
        <v>138</v>
      </c>
      <c r="K15" s="7" t="s">
        <v>145</v>
      </c>
      <c r="L15" s="7" t="s">
        <v>145</v>
      </c>
      <c r="M15" s="7" t="s">
        <v>145</v>
      </c>
    </row>
    <row r="16" spans="1:14" x14ac:dyDescent="0.25">
      <c r="A16" s="3" t="s">
        <v>15</v>
      </c>
      <c r="B16" s="7" t="s">
        <v>26</v>
      </c>
      <c r="C16" s="7" t="s">
        <v>26</v>
      </c>
      <c r="D16" s="7" t="s">
        <v>26</v>
      </c>
      <c r="E16" s="7" t="s">
        <v>129</v>
      </c>
      <c r="F16" s="7" t="s">
        <v>129</v>
      </c>
      <c r="G16" s="7" t="s">
        <v>129</v>
      </c>
      <c r="H16" s="7" t="s">
        <v>136</v>
      </c>
      <c r="I16" s="7" t="s">
        <v>136</v>
      </c>
      <c r="J16" s="7" t="s">
        <v>136</v>
      </c>
      <c r="K16" s="7" t="s">
        <v>146</v>
      </c>
      <c r="L16" s="7" t="s">
        <v>146</v>
      </c>
      <c r="M16" s="7" t="s">
        <v>146</v>
      </c>
    </row>
    <row r="17" spans="1:13" x14ac:dyDescent="0.25">
      <c r="A17" s="3" t="s">
        <v>16</v>
      </c>
      <c r="B17" s="7" t="s">
        <v>27</v>
      </c>
      <c r="C17" s="7" t="s">
        <v>27</v>
      </c>
      <c r="D17" s="7" t="s">
        <v>27</v>
      </c>
      <c r="E17" s="7" t="s">
        <v>130</v>
      </c>
      <c r="F17" s="7" t="s">
        <v>130</v>
      </c>
      <c r="G17" s="7" t="s">
        <v>130</v>
      </c>
      <c r="H17" s="7" t="s">
        <v>137</v>
      </c>
      <c r="I17" s="7" t="s">
        <v>137</v>
      </c>
      <c r="J17" s="7" t="s">
        <v>137</v>
      </c>
      <c r="K17" s="7" t="s">
        <v>143</v>
      </c>
      <c r="L17" s="7" t="s">
        <v>143</v>
      </c>
      <c r="M17" s="7" t="s">
        <v>143</v>
      </c>
    </row>
    <row r="18" spans="1:13" x14ac:dyDescent="0.25">
      <c r="A18" s="3" t="s">
        <v>17</v>
      </c>
      <c r="B18" s="7" t="s">
        <v>28</v>
      </c>
      <c r="C18" s="7" t="s">
        <v>28</v>
      </c>
      <c r="D18" s="7" t="s">
        <v>28</v>
      </c>
      <c r="E18" s="7" t="s">
        <v>131</v>
      </c>
      <c r="F18" s="7" t="s">
        <v>131</v>
      </c>
      <c r="G18" s="7" t="s">
        <v>131</v>
      </c>
      <c r="H18" s="7" t="s">
        <v>139</v>
      </c>
      <c r="I18" s="7" t="s">
        <v>139</v>
      </c>
      <c r="J18" s="7" t="s">
        <v>139</v>
      </c>
      <c r="K18" s="7" t="s">
        <v>147</v>
      </c>
      <c r="L18" s="7" t="s">
        <v>147</v>
      </c>
      <c r="M18" s="7" t="s">
        <v>147</v>
      </c>
    </row>
    <row r="19" spans="1:13" x14ac:dyDescent="0.25">
      <c r="A19" s="3" t="s">
        <v>18</v>
      </c>
      <c r="B19" s="7" t="s">
        <v>29</v>
      </c>
      <c r="C19" s="7" t="s">
        <v>29</v>
      </c>
      <c r="D19" s="7" t="s">
        <v>29</v>
      </c>
      <c r="E19" s="7" t="s">
        <v>132</v>
      </c>
      <c r="F19" s="7" t="s">
        <v>132</v>
      </c>
      <c r="G19" s="7" t="s">
        <v>132</v>
      </c>
      <c r="H19" s="7" t="s">
        <v>140</v>
      </c>
      <c r="I19" s="7" t="s">
        <v>140</v>
      </c>
      <c r="J19" s="7" t="s">
        <v>140</v>
      </c>
      <c r="K19" s="7" t="s">
        <v>148</v>
      </c>
      <c r="L19" s="7" t="s">
        <v>148</v>
      </c>
      <c r="M19" s="7" t="s">
        <v>148</v>
      </c>
    </row>
    <row r="21" spans="1:13" ht="30" x14ac:dyDescent="0.25">
      <c r="A21" s="2" t="s">
        <v>21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</row>
    <row r="23" spans="1:13" x14ac:dyDescent="0.25">
      <c r="A23" s="3" t="s">
        <v>12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</row>
    <row r="24" spans="1:13" x14ac:dyDescent="0.25">
      <c r="A24" s="3" t="s">
        <v>13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</row>
    <row r="25" spans="1:13" x14ac:dyDescent="0.25">
      <c r="A25" s="3" t="s">
        <v>14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</row>
    <row r="26" spans="1:13" x14ac:dyDescent="0.25">
      <c r="A26" s="3" t="s">
        <v>15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</row>
    <row r="27" spans="1:13" x14ac:dyDescent="0.25">
      <c r="A27" s="3" t="s">
        <v>16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</row>
    <row r="28" spans="1:13" x14ac:dyDescent="0.25">
      <c r="A28" s="3" t="s">
        <v>17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25">
      <c r="A29" s="3" t="s">
        <v>18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C5CD-DD3C-4849-8E11-4EC917D24730}">
  <dimension ref="A1:N29"/>
  <sheetViews>
    <sheetView workbookViewId="0">
      <selection sqref="A1:XFD1048576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5.6000000000000001E-2</v>
      </c>
      <c r="C2" s="4">
        <v>0.06</v>
      </c>
      <c r="D2" s="4">
        <v>5.3999999999999999E-2</v>
      </c>
      <c r="E2" s="4">
        <v>2.5739999999999998</v>
      </c>
      <c r="F2" s="4">
        <v>2.431</v>
      </c>
      <c r="G2" s="4">
        <v>2.5259999999999998</v>
      </c>
      <c r="H2" s="4">
        <v>5.5E-2</v>
      </c>
      <c r="I2" s="4">
        <v>5.2999999999999999E-2</v>
      </c>
      <c r="J2" s="4">
        <v>5.1999999999999998E-2</v>
      </c>
      <c r="K2" s="4">
        <v>6.9000000000000006E-2</v>
      </c>
      <c r="L2" s="4">
        <v>6.4000000000000001E-2</v>
      </c>
      <c r="M2" s="4">
        <v>6.8000000000000005E-2</v>
      </c>
      <c r="N2" s="5">
        <v>670</v>
      </c>
    </row>
    <row r="3" spans="1:14" x14ac:dyDescent="0.25">
      <c r="A3" s="3" t="s">
        <v>12</v>
      </c>
      <c r="B3" s="4">
        <v>0.13100000000000001</v>
      </c>
      <c r="C3" s="4">
        <v>0.14000000000000001</v>
      </c>
      <c r="D3" s="4">
        <v>0.127</v>
      </c>
      <c r="E3" s="4">
        <v>8.6999999999999994E-2</v>
      </c>
      <c r="F3" s="4">
        <v>8.5000000000000006E-2</v>
      </c>
      <c r="G3" s="4">
        <v>9.2999999999999999E-2</v>
      </c>
      <c r="H3" s="4">
        <v>5.6000000000000001E-2</v>
      </c>
      <c r="I3" s="4">
        <v>6.8000000000000005E-2</v>
      </c>
      <c r="J3" s="4">
        <v>5.1999999999999998E-2</v>
      </c>
      <c r="K3" s="4">
        <v>6.8000000000000005E-2</v>
      </c>
      <c r="L3" s="4">
        <v>6.5000000000000002E-2</v>
      </c>
      <c r="M3" s="4">
        <v>6.7000000000000004E-2</v>
      </c>
      <c r="N3" s="5">
        <v>670</v>
      </c>
    </row>
    <row r="4" spans="1:14" x14ac:dyDescent="0.25">
      <c r="A4" s="3" t="s">
        <v>13</v>
      </c>
      <c r="B4" s="4">
        <v>0.26900000000000002</v>
      </c>
      <c r="C4" s="4">
        <v>0.26200000000000001</v>
      </c>
      <c r="D4" s="4">
        <v>0.26500000000000001</v>
      </c>
      <c r="E4" s="4">
        <v>2.835</v>
      </c>
      <c r="F4" s="4">
        <v>2.806</v>
      </c>
      <c r="G4" s="4">
        <v>2.706</v>
      </c>
      <c r="H4" s="4">
        <v>5.5E-2</v>
      </c>
      <c r="I4" s="4">
        <v>5.2999999999999999E-2</v>
      </c>
      <c r="J4" s="4">
        <v>5.1999999999999998E-2</v>
      </c>
      <c r="K4" s="4">
        <v>5.8000000000000003E-2</v>
      </c>
      <c r="L4" s="4">
        <v>6.0999999999999999E-2</v>
      </c>
      <c r="M4" s="4">
        <v>0.06</v>
      </c>
      <c r="N4" s="5">
        <v>670</v>
      </c>
    </row>
    <row r="5" spans="1:14" x14ac:dyDescent="0.25">
      <c r="A5" s="3" t="s">
        <v>14</v>
      </c>
      <c r="B5" s="4">
        <v>0.51800000000000002</v>
      </c>
      <c r="C5" s="4">
        <v>0.50900000000000001</v>
      </c>
      <c r="D5" s="4">
        <v>0.51600000000000001</v>
      </c>
      <c r="E5" s="4">
        <v>3.0920000000000001</v>
      </c>
      <c r="F5" s="4">
        <v>2.9649999999999999</v>
      </c>
      <c r="G5" s="4">
        <v>2.8090000000000002</v>
      </c>
      <c r="H5" s="4">
        <v>7.0999999999999994E-2</v>
      </c>
      <c r="I5" s="4">
        <v>6.7000000000000004E-2</v>
      </c>
      <c r="J5" s="4">
        <v>7.0999999999999994E-2</v>
      </c>
      <c r="K5" s="4">
        <v>6.6000000000000003E-2</v>
      </c>
      <c r="L5" s="4">
        <v>6.0999999999999999E-2</v>
      </c>
      <c r="M5" s="4">
        <v>0.06</v>
      </c>
      <c r="N5" s="5">
        <v>670</v>
      </c>
    </row>
    <row r="6" spans="1:14" x14ac:dyDescent="0.25">
      <c r="A6" s="3" t="s">
        <v>15</v>
      </c>
      <c r="B6" s="4">
        <v>0.90600000000000003</v>
      </c>
      <c r="C6" s="4">
        <v>0.84699999999999998</v>
      </c>
      <c r="D6" s="4">
        <v>0.76700000000000002</v>
      </c>
      <c r="E6" s="4">
        <v>0.129</v>
      </c>
      <c r="F6" s="4">
        <v>9.6000000000000002E-2</v>
      </c>
      <c r="G6" s="4">
        <v>0.11899999999999999</v>
      </c>
      <c r="H6" s="4">
        <v>6.2E-2</v>
      </c>
      <c r="I6" s="4">
        <v>6.0999999999999999E-2</v>
      </c>
      <c r="J6" s="4">
        <v>6.2E-2</v>
      </c>
      <c r="K6" s="4">
        <v>6.5000000000000002E-2</v>
      </c>
      <c r="L6" s="4">
        <v>5.8000000000000003E-2</v>
      </c>
      <c r="M6" s="4">
        <v>5.7000000000000002E-2</v>
      </c>
      <c r="N6" s="5">
        <v>670</v>
      </c>
    </row>
    <row r="7" spans="1:14" x14ac:dyDescent="0.25">
      <c r="A7" s="3" t="s">
        <v>16</v>
      </c>
      <c r="B7" s="4">
        <v>1.5329999999999999</v>
      </c>
      <c r="C7" s="4">
        <v>1.496</v>
      </c>
      <c r="D7" s="4">
        <v>1.446</v>
      </c>
      <c r="E7" s="4">
        <v>2.7090000000000001</v>
      </c>
      <c r="F7" s="4">
        <v>2.7810000000000001</v>
      </c>
      <c r="G7" s="4">
        <v>2.8639999999999999</v>
      </c>
      <c r="H7" s="4">
        <v>6.2E-2</v>
      </c>
      <c r="I7" s="4">
        <v>6.2E-2</v>
      </c>
      <c r="J7" s="4">
        <v>6.2E-2</v>
      </c>
      <c r="K7" s="4">
        <v>5.5E-2</v>
      </c>
      <c r="L7" s="4">
        <v>5.3999999999999999E-2</v>
      </c>
      <c r="M7" s="4">
        <v>5.7000000000000002E-2</v>
      </c>
      <c r="N7" s="5">
        <v>670</v>
      </c>
    </row>
    <row r="8" spans="1:14" x14ac:dyDescent="0.25">
      <c r="A8" s="3" t="s">
        <v>17</v>
      </c>
      <c r="B8" s="4">
        <v>1.504</v>
      </c>
      <c r="C8" s="4">
        <v>1.413</v>
      </c>
      <c r="D8" s="4">
        <v>1.4339999999999999</v>
      </c>
      <c r="E8" s="4">
        <v>2.7309999999999999</v>
      </c>
      <c r="F8" s="4">
        <v>2.6520000000000001</v>
      </c>
      <c r="G8" s="4">
        <v>2.6869999999999998</v>
      </c>
      <c r="H8" s="4">
        <v>5.6000000000000001E-2</v>
      </c>
      <c r="I8" s="4">
        <v>5.8000000000000003E-2</v>
      </c>
      <c r="J8" s="4">
        <v>6.0999999999999999E-2</v>
      </c>
      <c r="K8" s="4">
        <v>5.5E-2</v>
      </c>
      <c r="L8" s="4">
        <v>5.5E-2</v>
      </c>
      <c r="M8" s="4">
        <v>5.8999999999999997E-2</v>
      </c>
      <c r="N8" s="5">
        <v>670</v>
      </c>
    </row>
    <row r="9" spans="1:14" x14ac:dyDescent="0.25">
      <c r="A9" s="3" t="s">
        <v>18</v>
      </c>
      <c r="B9" s="4">
        <v>1.474</v>
      </c>
      <c r="C9" s="4">
        <v>1.5</v>
      </c>
      <c r="D9" s="4">
        <v>1.502</v>
      </c>
      <c r="E9" s="4">
        <v>6.6000000000000003E-2</v>
      </c>
      <c r="F9" s="4">
        <v>6.8000000000000005E-2</v>
      </c>
      <c r="G9" s="4">
        <v>6.5000000000000002E-2</v>
      </c>
      <c r="H9" s="4">
        <v>5.5E-2</v>
      </c>
      <c r="I9" s="4">
        <v>5.8999999999999997E-2</v>
      </c>
      <c r="J9" s="4">
        <v>5.7000000000000002E-2</v>
      </c>
      <c r="K9" s="4">
        <v>5.6000000000000001E-2</v>
      </c>
      <c r="L9" s="4">
        <v>5.1999999999999998E-2</v>
      </c>
      <c r="M9" s="4">
        <v>5.2999999999999999E-2</v>
      </c>
      <c r="N9" s="5">
        <v>670</v>
      </c>
    </row>
    <row r="11" spans="1:14" x14ac:dyDescent="0.25">
      <c r="A11" s="2" t="s">
        <v>20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s="7" t="s">
        <v>22</v>
      </c>
      <c r="C12" s="7" t="s">
        <v>22</v>
      </c>
      <c r="D12" s="7" t="s">
        <v>22</v>
      </c>
      <c r="E12" s="7" t="s">
        <v>149</v>
      </c>
      <c r="F12" s="7" t="s">
        <v>149</v>
      </c>
      <c r="G12" s="7" t="s">
        <v>149</v>
      </c>
      <c r="H12" s="7" t="s">
        <v>157</v>
      </c>
      <c r="I12" s="7" t="s">
        <v>157</v>
      </c>
      <c r="J12" s="7" t="s">
        <v>157</v>
      </c>
      <c r="K12" s="7" t="s">
        <v>165</v>
      </c>
      <c r="L12" s="7" t="s">
        <v>165</v>
      </c>
      <c r="M12" s="7" t="s">
        <v>165</v>
      </c>
    </row>
    <row r="13" spans="1:14" x14ac:dyDescent="0.25">
      <c r="A13" s="3" t="s">
        <v>12</v>
      </c>
      <c r="B13" s="7" t="s">
        <v>23</v>
      </c>
      <c r="C13" s="7" t="s">
        <v>23</v>
      </c>
      <c r="D13" s="7" t="s">
        <v>23</v>
      </c>
      <c r="E13" s="7" t="s">
        <v>152</v>
      </c>
      <c r="F13" s="7" t="s">
        <v>152</v>
      </c>
      <c r="G13" s="7" t="s">
        <v>152</v>
      </c>
      <c r="H13" s="7" t="s">
        <v>158</v>
      </c>
      <c r="I13" s="7" t="s">
        <v>158</v>
      </c>
      <c r="J13" s="7" t="s">
        <v>158</v>
      </c>
      <c r="K13" s="7" t="s">
        <v>166</v>
      </c>
      <c r="L13" s="7" t="s">
        <v>166</v>
      </c>
      <c r="M13" s="7" t="s">
        <v>166</v>
      </c>
    </row>
    <row r="14" spans="1:14" x14ac:dyDescent="0.25">
      <c r="A14" s="3" t="s">
        <v>13</v>
      </c>
      <c r="B14" s="7" t="s">
        <v>24</v>
      </c>
      <c r="C14" s="7" t="s">
        <v>24</v>
      </c>
      <c r="D14" s="7" t="s">
        <v>24</v>
      </c>
      <c r="E14" s="7" t="s">
        <v>153</v>
      </c>
      <c r="F14" s="7" t="s">
        <v>153</v>
      </c>
      <c r="G14" s="7" t="s">
        <v>153</v>
      </c>
      <c r="H14" s="7" t="s">
        <v>159</v>
      </c>
      <c r="I14" s="7" t="s">
        <v>159</v>
      </c>
      <c r="J14" s="7" t="s">
        <v>159</v>
      </c>
      <c r="K14" s="7" t="s">
        <v>167</v>
      </c>
      <c r="L14" s="7" t="s">
        <v>167</v>
      </c>
      <c r="M14" s="7" t="s">
        <v>167</v>
      </c>
    </row>
    <row r="15" spans="1:14" x14ac:dyDescent="0.25">
      <c r="A15" s="3" t="s">
        <v>14</v>
      </c>
      <c r="B15" s="7" t="s">
        <v>25</v>
      </c>
      <c r="C15" s="7" t="s">
        <v>25</v>
      </c>
      <c r="D15" s="7" t="s">
        <v>25</v>
      </c>
      <c r="E15" s="7" t="s">
        <v>150</v>
      </c>
      <c r="F15" s="7" t="s">
        <v>150</v>
      </c>
      <c r="G15" s="7" t="s">
        <v>150</v>
      </c>
      <c r="H15" s="7" t="s">
        <v>160</v>
      </c>
      <c r="I15" s="7" t="s">
        <v>160</v>
      </c>
      <c r="J15" s="7" t="s">
        <v>160</v>
      </c>
      <c r="K15" s="7" t="s">
        <v>168</v>
      </c>
      <c r="L15" s="7" t="s">
        <v>168</v>
      </c>
      <c r="M15" s="7" t="s">
        <v>168</v>
      </c>
    </row>
    <row r="16" spans="1:14" x14ac:dyDescent="0.25">
      <c r="A16" s="3" t="s">
        <v>15</v>
      </c>
      <c r="B16" s="7" t="s">
        <v>26</v>
      </c>
      <c r="C16" s="7" t="s">
        <v>26</v>
      </c>
      <c r="D16" s="7" t="s">
        <v>26</v>
      </c>
      <c r="E16" s="7" t="s">
        <v>154</v>
      </c>
      <c r="F16" s="7" t="s">
        <v>154</v>
      </c>
      <c r="G16" s="7" t="s">
        <v>154</v>
      </c>
      <c r="H16" s="7" t="s">
        <v>161</v>
      </c>
      <c r="I16" s="7" t="s">
        <v>161</v>
      </c>
      <c r="J16" s="7" t="s">
        <v>161</v>
      </c>
      <c r="K16" s="7" t="s">
        <v>169</v>
      </c>
      <c r="L16" s="7" t="s">
        <v>169</v>
      </c>
      <c r="M16" s="7" t="s">
        <v>169</v>
      </c>
    </row>
    <row r="17" spans="1:13" x14ac:dyDescent="0.25">
      <c r="A17" s="3" t="s">
        <v>16</v>
      </c>
      <c r="B17" s="7" t="s">
        <v>27</v>
      </c>
      <c r="C17" s="7" t="s">
        <v>27</v>
      </c>
      <c r="D17" s="7" t="s">
        <v>27</v>
      </c>
      <c r="E17" s="7" t="s">
        <v>155</v>
      </c>
      <c r="F17" s="7" t="s">
        <v>155</v>
      </c>
      <c r="G17" s="7" t="s">
        <v>155</v>
      </c>
      <c r="H17" s="7" t="s">
        <v>164</v>
      </c>
      <c r="I17" s="7" t="s">
        <v>164</v>
      </c>
      <c r="J17" s="7" t="s">
        <v>164</v>
      </c>
      <c r="K17" s="7" t="s">
        <v>170</v>
      </c>
      <c r="L17" s="7" t="s">
        <v>170</v>
      </c>
      <c r="M17" s="7" t="s">
        <v>170</v>
      </c>
    </row>
    <row r="18" spans="1:13" x14ac:dyDescent="0.25">
      <c r="A18" s="3" t="s">
        <v>17</v>
      </c>
      <c r="B18" s="7" t="s">
        <v>28</v>
      </c>
      <c r="C18" s="7" t="s">
        <v>28</v>
      </c>
      <c r="D18" s="7" t="s">
        <v>28</v>
      </c>
      <c r="E18" s="7" t="s">
        <v>151</v>
      </c>
      <c r="F18" s="7" t="s">
        <v>151</v>
      </c>
      <c r="G18" s="7" t="s">
        <v>151</v>
      </c>
      <c r="H18" s="7" t="s">
        <v>162</v>
      </c>
      <c r="I18" s="7" t="s">
        <v>162</v>
      </c>
      <c r="J18" s="7" t="s">
        <v>162</v>
      </c>
      <c r="K18" s="7" t="s">
        <v>171</v>
      </c>
      <c r="L18" s="7" t="s">
        <v>171</v>
      </c>
      <c r="M18" s="7" t="s">
        <v>171</v>
      </c>
    </row>
    <row r="19" spans="1:13" x14ac:dyDescent="0.25">
      <c r="A19" s="3" t="s">
        <v>18</v>
      </c>
      <c r="B19" s="7" t="s">
        <v>29</v>
      </c>
      <c r="C19" s="7" t="s">
        <v>29</v>
      </c>
      <c r="D19" s="7" t="s">
        <v>29</v>
      </c>
      <c r="E19" s="7" t="s">
        <v>156</v>
      </c>
      <c r="F19" s="7" t="s">
        <v>156</v>
      </c>
      <c r="G19" s="7" t="s">
        <v>156</v>
      </c>
      <c r="H19" s="7" t="s">
        <v>163</v>
      </c>
      <c r="I19" s="7" t="s">
        <v>163</v>
      </c>
      <c r="J19" s="7" t="s">
        <v>163</v>
      </c>
      <c r="K19" s="7" t="s">
        <v>172</v>
      </c>
      <c r="L19" s="7" t="s">
        <v>172</v>
      </c>
      <c r="M19" s="7" t="s">
        <v>172</v>
      </c>
    </row>
    <row r="21" spans="1:13" ht="30" x14ac:dyDescent="0.25">
      <c r="A21" s="2" t="s">
        <v>21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</row>
    <row r="23" spans="1:13" x14ac:dyDescent="0.25">
      <c r="A23" s="3" t="s">
        <v>12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</row>
    <row r="24" spans="1:13" x14ac:dyDescent="0.25">
      <c r="A24" s="3" t="s">
        <v>13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</row>
    <row r="25" spans="1:13" x14ac:dyDescent="0.25">
      <c r="A25" s="3" t="s">
        <v>14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</row>
    <row r="26" spans="1:13" x14ac:dyDescent="0.25">
      <c r="A26" s="3" t="s">
        <v>15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</row>
    <row r="27" spans="1:13" x14ac:dyDescent="0.25">
      <c r="A27" s="3" t="s">
        <v>16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</row>
    <row r="28" spans="1:13" x14ac:dyDescent="0.25">
      <c r="A28" s="3" t="s">
        <v>17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25">
      <c r="A29" s="3" t="s">
        <v>18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0D4A-074B-43EC-8621-931FB01932C4}">
  <dimension ref="A1:N29"/>
  <sheetViews>
    <sheetView tabSelected="1" topLeftCell="A9" workbookViewId="0">
      <selection activeCell="A10" sqref="A10:N31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5.2999999999999999E-2</v>
      </c>
      <c r="C2" s="4">
        <v>5.2999999999999999E-2</v>
      </c>
      <c r="D2" s="4">
        <v>0.05</v>
      </c>
      <c r="E2" s="4">
        <v>5.5E-2</v>
      </c>
      <c r="F2" s="4">
        <v>5.3999999999999999E-2</v>
      </c>
      <c r="G2" s="4">
        <v>5.2999999999999999E-2</v>
      </c>
      <c r="H2" s="4">
        <v>0.13700000000000001</v>
      </c>
      <c r="I2" s="4">
        <v>0.11</v>
      </c>
      <c r="J2" s="4">
        <v>0.112</v>
      </c>
      <c r="K2" s="4">
        <v>0.22500000000000001</v>
      </c>
      <c r="L2" s="4">
        <v>0.218</v>
      </c>
      <c r="M2" s="4">
        <v>0.22500000000000001</v>
      </c>
      <c r="N2" s="5">
        <v>670</v>
      </c>
    </row>
    <row r="3" spans="1:14" x14ac:dyDescent="0.25">
      <c r="A3" s="3" t="s">
        <v>12</v>
      </c>
      <c r="B3" s="4">
        <v>0.14000000000000001</v>
      </c>
      <c r="C3" s="4">
        <v>0.1</v>
      </c>
      <c r="D3" s="4">
        <v>0.14299999999999999</v>
      </c>
      <c r="E3" s="4">
        <v>5.6000000000000001E-2</v>
      </c>
      <c r="F3" s="4">
        <v>5.6000000000000001E-2</v>
      </c>
      <c r="G3" s="4">
        <v>5.7000000000000002E-2</v>
      </c>
      <c r="H3" s="4">
        <v>0.78700000000000003</v>
      </c>
      <c r="I3" s="4">
        <v>0.76500000000000001</v>
      </c>
      <c r="J3" s="4">
        <v>0.70499999999999996</v>
      </c>
      <c r="K3" s="4">
        <v>0.85899999999999999</v>
      </c>
      <c r="L3" s="4">
        <v>0.77200000000000002</v>
      </c>
      <c r="M3" s="4">
        <v>0.76200000000000001</v>
      </c>
      <c r="N3" s="5">
        <v>670</v>
      </c>
    </row>
    <row r="4" spans="1:14" x14ac:dyDescent="0.25">
      <c r="A4" s="3" t="s">
        <v>13</v>
      </c>
      <c r="B4" s="4">
        <v>0.28199999999999997</v>
      </c>
      <c r="C4" s="4">
        <v>0.255</v>
      </c>
      <c r="D4" s="4">
        <v>0.29399999999999998</v>
      </c>
      <c r="E4" s="4">
        <v>5.7000000000000002E-2</v>
      </c>
      <c r="F4" s="4">
        <v>5.2999999999999999E-2</v>
      </c>
      <c r="G4" s="4">
        <v>5.3999999999999999E-2</v>
      </c>
      <c r="H4" s="4">
        <v>0.36299999999999999</v>
      </c>
      <c r="I4" s="4">
        <v>4.1000000000000002E-2</v>
      </c>
      <c r="J4" s="4">
        <v>0.35799999999999998</v>
      </c>
      <c r="K4" s="4">
        <v>0.81299999999999994</v>
      </c>
      <c r="L4" s="4">
        <v>0.70099999999999996</v>
      </c>
      <c r="M4" s="4">
        <v>0.66600000000000004</v>
      </c>
      <c r="N4" s="5">
        <v>670</v>
      </c>
    </row>
    <row r="5" spans="1:14" x14ac:dyDescent="0.25">
      <c r="A5" s="3" t="s">
        <v>14</v>
      </c>
      <c r="B5" s="4">
        <v>0.56200000000000006</v>
      </c>
      <c r="C5" s="4">
        <v>0.54900000000000004</v>
      </c>
      <c r="D5" s="4">
        <v>0.48199999999999998</v>
      </c>
      <c r="E5" s="4">
        <v>5.3999999999999999E-2</v>
      </c>
      <c r="F5" s="4">
        <v>5.2999999999999999E-2</v>
      </c>
      <c r="G5" s="4">
        <v>5.2999999999999999E-2</v>
      </c>
      <c r="H5" s="4">
        <v>2.1139999999999999</v>
      </c>
      <c r="I5" s="4">
        <v>2.1789999999999998</v>
      </c>
      <c r="J5" s="4">
        <v>2.2490000000000001</v>
      </c>
      <c r="K5" s="4">
        <v>0.60599999999999998</v>
      </c>
      <c r="L5" s="4">
        <v>0.50600000000000001</v>
      </c>
      <c r="M5" s="4">
        <v>0.46899999999999997</v>
      </c>
      <c r="N5" s="5">
        <v>670</v>
      </c>
    </row>
    <row r="6" spans="1:14" x14ac:dyDescent="0.25">
      <c r="A6" s="3" t="s">
        <v>15</v>
      </c>
      <c r="B6" s="4">
        <v>0.94599999999999995</v>
      </c>
      <c r="C6" s="4">
        <v>0.879</v>
      </c>
      <c r="D6" s="4">
        <v>0.80900000000000005</v>
      </c>
      <c r="E6" s="4">
        <v>5.5E-2</v>
      </c>
      <c r="F6" s="4">
        <v>5.5E-2</v>
      </c>
      <c r="G6" s="4">
        <v>5.6000000000000001E-2</v>
      </c>
      <c r="H6" s="4">
        <v>0.30599999999999999</v>
      </c>
      <c r="I6" s="4">
        <v>0.308</v>
      </c>
      <c r="J6" s="4">
        <v>0.312</v>
      </c>
      <c r="K6" s="4">
        <v>0.434</v>
      </c>
      <c r="L6" s="4">
        <v>0.41099999999999998</v>
      </c>
      <c r="M6" s="4">
        <v>0.40400000000000003</v>
      </c>
      <c r="N6" s="5">
        <v>670</v>
      </c>
    </row>
    <row r="7" spans="1:14" x14ac:dyDescent="0.25">
      <c r="A7" s="3" t="s">
        <v>16</v>
      </c>
      <c r="B7" s="4">
        <v>1.518</v>
      </c>
      <c r="C7" s="4">
        <v>1.474</v>
      </c>
      <c r="D7" s="4">
        <v>1.454</v>
      </c>
      <c r="E7" s="4">
        <v>0.23799999999999999</v>
      </c>
      <c r="F7" s="4">
        <v>0.24199999999999999</v>
      </c>
      <c r="G7" s="4">
        <v>0.24</v>
      </c>
      <c r="H7" s="4">
        <v>0.29399999999999998</v>
      </c>
      <c r="I7" s="4">
        <v>0.25800000000000001</v>
      </c>
      <c r="J7" s="4">
        <v>0.28499999999999998</v>
      </c>
      <c r="K7" s="4">
        <v>0.25</v>
      </c>
      <c r="L7" s="4">
        <v>4.4999999999999998E-2</v>
      </c>
      <c r="M7" s="4">
        <v>4.3999999999999997E-2</v>
      </c>
      <c r="N7" s="5">
        <v>670</v>
      </c>
    </row>
    <row r="8" spans="1:14" x14ac:dyDescent="0.25">
      <c r="A8" s="3" t="s">
        <v>17</v>
      </c>
      <c r="B8" s="4">
        <v>1.48</v>
      </c>
      <c r="C8" s="4">
        <v>1.4019999999999999</v>
      </c>
      <c r="D8" s="4">
        <v>1.4630000000000001</v>
      </c>
      <c r="E8" s="4">
        <v>1.601</v>
      </c>
      <c r="F8" s="4">
        <v>1.5309999999999999</v>
      </c>
      <c r="G8" s="4">
        <v>1.56</v>
      </c>
      <c r="H8" s="4">
        <v>0.28799999999999998</v>
      </c>
      <c r="I8" s="4">
        <v>0.3</v>
      </c>
      <c r="J8" s="4">
        <v>0.27100000000000002</v>
      </c>
      <c r="K8" s="4">
        <v>4.4999999999999998E-2</v>
      </c>
      <c r="L8" s="4">
        <v>4.4999999999999998E-2</v>
      </c>
      <c r="M8" s="4">
        <v>4.4999999999999998E-2</v>
      </c>
      <c r="N8" s="5">
        <v>670</v>
      </c>
    </row>
    <row r="9" spans="1:14" x14ac:dyDescent="0.25">
      <c r="A9" s="3" t="s">
        <v>18</v>
      </c>
      <c r="B9" s="4">
        <v>1.476</v>
      </c>
      <c r="C9" s="4">
        <v>1.52</v>
      </c>
      <c r="D9" s="4">
        <v>1.4770000000000001</v>
      </c>
      <c r="E9" s="4">
        <v>1.5629999999999999</v>
      </c>
      <c r="F9" s="4">
        <v>1.5049999999999999</v>
      </c>
      <c r="G9" s="4">
        <v>1.63</v>
      </c>
      <c r="H9" s="4">
        <v>0.34899999999999998</v>
      </c>
      <c r="I9" s="4">
        <v>0.32600000000000001</v>
      </c>
      <c r="J9" s="4">
        <v>0.32600000000000001</v>
      </c>
      <c r="K9" s="4">
        <v>4.4999999999999998E-2</v>
      </c>
      <c r="L9" s="4">
        <v>4.4999999999999998E-2</v>
      </c>
      <c r="M9" s="4">
        <v>4.5999999999999999E-2</v>
      </c>
      <c r="N9" s="5">
        <v>670</v>
      </c>
    </row>
    <row r="11" spans="1:14" x14ac:dyDescent="0.25">
      <c r="A11" s="2" t="s">
        <v>20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s="7" t="s">
        <v>22</v>
      </c>
      <c r="C12" s="7" t="s">
        <v>22</v>
      </c>
      <c r="D12" s="7" t="s">
        <v>22</v>
      </c>
      <c r="E12" s="7" t="s">
        <v>173</v>
      </c>
      <c r="F12" s="7" t="s">
        <v>173</v>
      </c>
      <c r="G12" s="7" t="s">
        <v>173</v>
      </c>
      <c r="H12" s="7" t="s">
        <v>181</v>
      </c>
      <c r="I12" s="7" t="s">
        <v>181</v>
      </c>
      <c r="J12" s="7" t="s">
        <v>181</v>
      </c>
      <c r="K12" s="7" t="s">
        <v>148</v>
      </c>
      <c r="L12" s="7" t="s">
        <v>148</v>
      </c>
      <c r="M12" s="7" t="s">
        <v>148</v>
      </c>
    </row>
    <row r="13" spans="1:14" x14ac:dyDescent="0.25">
      <c r="A13" s="3" t="s">
        <v>12</v>
      </c>
      <c r="B13" s="7" t="s">
        <v>23</v>
      </c>
      <c r="C13" s="7" t="s">
        <v>23</v>
      </c>
      <c r="D13" s="7" t="s">
        <v>23</v>
      </c>
      <c r="E13" s="7" t="s">
        <v>174</v>
      </c>
      <c r="F13" s="7" t="s">
        <v>174</v>
      </c>
      <c r="G13" s="7" t="s">
        <v>174</v>
      </c>
      <c r="H13" s="7" t="s">
        <v>182</v>
      </c>
      <c r="I13" s="7" t="s">
        <v>182</v>
      </c>
      <c r="J13" s="7" t="s">
        <v>182</v>
      </c>
      <c r="K13" s="7" t="s">
        <v>47</v>
      </c>
      <c r="L13" s="7" t="s">
        <v>47</v>
      </c>
      <c r="M13" s="7" t="s">
        <v>47</v>
      </c>
    </row>
    <row r="14" spans="1:14" x14ac:dyDescent="0.25">
      <c r="A14" s="3" t="s">
        <v>13</v>
      </c>
      <c r="B14" s="7" t="s">
        <v>24</v>
      </c>
      <c r="C14" s="7" t="s">
        <v>24</v>
      </c>
      <c r="D14" s="7" t="s">
        <v>24</v>
      </c>
      <c r="E14" s="7" t="s">
        <v>175</v>
      </c>
      <c r="F14" s="7" t="s">
        <v>175</v>
      </c>
      <c r="G14" s="7" t="s">
        <v>175</v>
      </c>
      <c r="H14" s="7" t="s">
        <v>183</v>
      </c>
      <c r="I14" s="7" t="s">
        <v>183</v>
      </c>
      <c r="J14" s="7" t="s">
        <v>183</v>
      </c>
      <c r="K14" s="7" t="s">
        <v>48</v>
      </c>
      <c r="L14" s="7" t="s">
        <v>48</v>
      </c>
      <c r="M14" s="7" t="s">
        <v>48</v>
      </c>
    </row>
    <row r="15" spans="1:14" x14ac:dyDescent="0.25">
      <c r="A15" s="3" t="s">
        <v>14</v>
      </c>
      <c r="B15" s="7" t="s">
        <v>25</v>
      </c>
      <c r="C15" s="7" t="s">
        <v>25</v>
      </c>
      <c r="D15" s="7" t="s">
        <v>25</v>
      </c>
      <c r="E15" s="7" t="s">
        <v>176</v>
      </c>
      <c r="F15" s="7" t="s">
        <v>176</v>
      </c>
      <c r="G15" s="7" t="s">
        <v>176</v>
      </c>
      <c r="H15" s="7" t="s">
        <v>184</v>
      </c>
      <c r="I15" s="7" t="s">
        <v>184</v>
      </c>
      <c r="J15" s="7" t="s">
        <v>184</v>
      </c>
      <c r="K15" s="7" t="s">
        <v>50</v>
      </c>
      <c r="L15" s="7" t="s">
        <v>50</v>
      </c>
      <c r="M15" s="7" t="s">
        <v>50</v>
      </c>
    </row>
    <row r="16" spans="1:14" x14ac:dyDescent="0.25">
      <c r="A16" s="3" t="s">
        <v>15</v>
      </c>
      <c r="B16" s="7" t="s">
        <v>26</v>
      </c>
      <c r="C16" s="7" t="s">
        <v>26</v>
      </c>
      <c r="D16" s="7" t="s">
        <v>26</v>
      </c>
      <c r="E16" s="7" t="s">
        <v>177</v>
      </c>
      <c r="F16" s="7" t="s">
        <v>177</v>
      </c>
      <c r="G16" s="7" t="s">
        <v>177</v>
      </c>
      <c r="H16" s="7" t="s">
        <v>185</v>
      </c>
      <c r="I16" s="7" t="s">
        <v>185</v>
      </c>
      <c r="J16" s="7" t="s">
        <v>185</v>
      </c>
      <c r="K16" s="7" t="s">
        <v>51</v>
      </c>
      <c r="L16" s="7" t="s">
        <v>51</v>
      </c>
      <c r="M16" s="7" t="s">
        <v>51</v>
      </c>
    </row>
    <row r="17" spans="1:13" x14ac:dyDescent="0.25">
      <c r="A17" s="3" t="s">
        <v>16</v>
      </c>
      <c r="B17" s="7" t="s">
        <v>27</v>
      </c>
      <c r="C17" s="7" t="s">
        <v>27</v>
      </c>
      <c r="D17" s="7" t="s">
        <v>27</v>
      </c>
      <c r="E17" s="7" t="s">
        <v>178</v>
      </c>
      <c r="F17" s="7" t="s">
        <v>178</v>
      </c>
      <c r="G17" s="7" t="s">
        <v>178</v>
      </c>
      <c r="H17" s="7" t="s">
        <v>186</v>
      </c>
      <c r="I17" s="7" t="s">
        <v>186</v>
      </c>
      <c r="J17" s="7" t="s">
        <v>186</v>
      </c>
      <c r="K17" s="7" t="s">
        <v>188</v>
      </c>
      <c r="L17" s="7" t="s">
        <v>188</v>
      </c>
      <c r="M17" s="7" t="s">
        <v>188</v>
      </c>
    </row>
    <row r="18" spans="1:13" x14ac:dyDescent="0.25">
      <c r="A18" s="3" t="s">
        <v>17</v>
      </c>
      <c r="B18" s="7" t="s">
        <v>28</v>
      </c>
      <c r="C18" s="7" t="s">
        <v>28</v>
      </c>
      <c r="D18" s="7" t="s">
        <v>28</v>
      </c>
      <c r="E18" s="7" t="s">
        <v>179</v>
      </c>
      <c r="F18" s="7" t="s">
        <v>179</v>
      </c>
      <c r="G18" s="7" t="s">
        <v>179</v>
      </c>
      <c r="H18" s="7" t="s">
        <v>71</v>
      </c>
      <c r="I18" s="7" t="s">
        <v>71</v>
      </c>
      <c r="J18" s="7" t="s">
        <v>71</v>
      </c>
      <c r="K18" s="7" t="s">
        <v>188</v>
      </c>
      <c r="L18" s="7" t="s">
        <v>188</v>
      </c>
      <c r="M18" s="7" t="s">
        <v>188</v>
      </c>
    </row>
    <row r="19" spans="1:13" x14ac:dyDescent="0.25">
      <c r="A19" s="3" t="s">
        <v>18</v>
      </c>
      <c r="B19" s="7" t="s">
        <v>29</v>
      </c>
      <c r="C19" s="7" t="s">
        <v>29</v>
      </c>
      <c r="D19" s="7" t="s">
        <v>29</v>
      </c>
      <c r="E19" s="7" t="s">
        <v>180</v>
      </c>
      <c r="F19" s="7" t="s">
        <v>180</v>
      </c>
      <c r="G19" s="7" t="s">
        <v>180</v>
      </c>
      <c r="H19" s="7" t="s">
        <v>187</v>
      </c>
      <c r="I19" s="7" t="s">
        <v>187</v>
      </c>
      <c r="J19" s="7" t="s">
        <v>187</v>
      </c>
      <c r="K19" s="7" t="s">
        <v>188</v>
      </c>
      <c r="L19" s="7" t="s">
        <v>188</v>
      </c>
      <c r="M19" s="7" t="s">
        <v>188</v>
      </c>
    </row>
    <row r="21" spans="1:13" ht="30" x14ac:dyDescent="0.25">
      <c r="A21" s="2" t="s">
        <v>21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25</v>
      </c>
      <c r="L22" s="4">
        <v>25</v>
      </c>
      <c r="M22" s="4">
        <v>25</v>
      </c>
    </row>
    <row r="23" spans="1:13" x14ac:dyDescent="0.25">
      <c r="A23" s="3" t="s">
        <v>12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25</v>
      </c>
      <c r="L23" s="4">
        <v>25</v>
      </c>
      <c r="M23" s="4">
        <v>25</v>
      </c>
    </row>
    <row r="24" spans="1:13" x14ac:dyDescent="0.25">
      <c r="A24" s="3" t="s">
        <v>13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25</v>
      </c>
      <c r="L24" s="4">
        <v>25</v>
      </c>
      <c r="M24" s="4">
        <v>25</v>
      </c>
    </row>
    <row r="25" spans="1:13" x14ac:dyDescent="0.25">
      <c r="A25" s="3" t="s">
        <v>14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25</v>
      </c>
      <c r="L25" s="4">
        <v>25</v>
      </c>
      <c r="M25" s="4">
        <v>25</v>
      </c>
    </row>
    <row r="26" spans="1:13" x14ac:dyDescent="0.25">
      <c r="A26" s="3" t="s">
        <v>15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25</v>
      </c>
      <c r="L26" s="4">
        <v>25</v>
      </c>
      <c r="M26" s="4">
        <v>25</v>
      </c>
    </row>
    <row r="27" spans="1:13" x14ac:dyDescent="0.25">
      <c r="A27" s="3" t="s">
        <v>16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</row>
    <row r="28" spans="1:13" x14ac:dyDescent="0.25">
      <c r="A28" s="3" t="s">
        <v>17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25</v>
      </c>
      <c r="I28" s="4">
        <v>25</v>
      </c>
      <c r="J28" s="4">
        <v>25</v>
      </c>
      <c r="K28" s="4">
        <v>1</v>
      </c>
      <c r="L28" s="4">
        <v>1</v>
      </c>
      <c r="M28" s="4">
        <v>1</v>
      </c>
    </row>
    <row r="29" spans="1:13" x14ac:dyDescent="0.25">
      <c r="A29" s="3" t="s">
        <v>18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25</v>
      </c>
      <c r="I29" s="4">
        <v>25</v>
      </c>
      <c r="J29" s="4">
        <v>25</v>
      </c>
      <c r="K29" s="4">
        <v>1</v>
      </c>
      <c r="L29" s="4">
        <v>1</v>
      </c>
      <c r="M29" s="4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STDs</vt:lpstr>
      <vt:lpstr>Plate 1</vt:lpstr>
      <vt:lpstr>Plate 2</vt:lpstr>
      <vt:lpstr>Plate 3</vt:lpstr>
      <vt:lpstr>Plate 4</vt:lpstr>
      <vt:lpstr>Plate 5</vt:lpstr>
      <vt:lpstr>Plate 6</vt:lpstr>
      <vt:lpstr>Plate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2023-05-20T18:00:15Z</dcterms:created>
  <dcterms:modified xsi:type="dcterms:W3CDTF">2023-07-26T15:20:28Z</dcterms:modified>
</cp:coreProperties>
</file>