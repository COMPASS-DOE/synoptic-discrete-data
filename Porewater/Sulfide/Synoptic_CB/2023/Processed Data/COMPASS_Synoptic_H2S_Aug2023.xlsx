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People\Wilson (Steph)\Data\MicroPlate Data\Sulfide\Data\2023\"/>
    </mc:Choice>
  </mc:AlternateContent>
  <xr:revisionPtr revIDLastSave="0" documentId="13_ncr:1_{5402234E-491D-44D4-A80C-E5480A00B60C}" xr6:coauthVersionLast="47" xr6:coauthVersionMax="47" xr10:uidLastSave="{00000000-0000-0000-0000-000000000000}"/>
  <bookViews>
    <workbookView xWindow="-120" yWindow="-120" windowWidth="29040" windowHeight="15840" activeTab="8" xr2:uid="{FA2C86C4-1185-49BB-A25D-25687FCA4333}"/>
  </bookViews>
  <sheets>
    <sheet name="STDs" sheetId="1" r:id="rId1"/>
    <sheet name="Plate1" sheetId="2" r:id="rId2"/>
    <sheet name="Plate2" sheetId="3" r:id="rId3"/>
    <sheet name="Plate3" sheetId="5" r:id="rId4"/>
    <sheet name="Plate4" sheetId="6" r:id="rId5"/>
    <sheet name="Plate5" sheetId="7" r:id="rId6"/>
    <sheet name="Plate6" sheetId="8" r:id="rId7"/>
    <sheet name="Plate7" sheetId="9" r:id="rId8"/>
    <sheet name="Plate8" sheetId="10" r:id="rId9"/>
    <sheet name="Sheet4" sheetId="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5" i="1" l="1"/>
  <c r="B88" i="1"/>
  <c r="B87" i="1"/>
  <c r="B86" i="1"/>
  <c r="B84" i="1"/>
  <c r="B83" i="1"/>
  <c r="B82" i="1"/>
  <c r="B81" i="1"/>
  <c r="B63" i="1"/>
  <c r="B62" i="1"/>
  <c r="B39" i="1"/>
  <c r="B40" i="1"/>
  <c r="B18" i="1"/>
  <c r="B17" i="1"/>
  <c r="B77" i="1"/>
  <c r="B76" i="1"/>
  <c r="B75" i="1"/>
  <c r="B74" i="1"/>
  <c r="B73" i="1"/>
  <c r="B72" i="1"/>
  <c r="B71" i="1"/>
  <c r="B70" i="1"/>
  <c r="B65" i="1"/>
  <c r="B64" i="1"/>
  <c r="B61" i="1"/>
  <c r="B60" i="1"/>
  <c r="B59" i="1"/>
  <c r="B58" i="1"/>
  <c r="B54" i="1"/>
  <c r="B53" i="1"/>
  <c r="B52" i="1"/>
  <c r="B51" i="1"/>
  <c r="B50" i="1"/>
  <c r="B49" i="1"/>
  <c r="B48" i="1"/>
  <c r="B47" i="1"/>
  <c r="B43" i="1"/>
  <c r="B42" i="1"/>
  <c r="B41" i="1"/>
  <c r="B38" i="1"/>
  <c r="B37" i="1"/>
  <c r="B36" i="1"/>
  <c r="B32" i="1"/>
  <c r="B31" i="1"/>
  <c r="B30" i="1"/>
  <c r="B29" i="1"/>
  <c r="B28" i="1"/>
  <c r="B27" i="1"/>
  <c r="B26" i="1"/>
  <c r="B25" i="1"/>
  <c r="B21" i="1"/>
  <c r="B20" i="1"/>
  <c r="B19" i="1"/>
  <c r="B16" i="1"/>
  <c r="B15" i="1"/>
  <c r="B14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<sst xmlns="http://schemas.openxmlformats.org/spreadsheetml/2006/main" count="975" uniqueCount="221">
  <si>
    <t>Plate 1</t>
  </si>
  <si>
    <t>Conc</t>
  </si>
  <si>
    <t>Avg Abs</t>
  </si>
  <si>
    <t>Abs1</t>
  </si>
  <si>
    <t>Abs 2</t>
  </si>
  <si>
    <t>Abs3</t>
  </si>
  <si>
    <t>Plate 2</t>
  </si>
  <si>
    <t>Plate 3</t>
  </si>
  <si>
    <t>Plate 4</t>
  </si>
  <si>
    <t>Plate 5</t>
  </si>
  <si>
    <t>Plate 6</t>
  </si>
  <si>
    <t>Plate 7</t>
  </si>
  <si>
    <t>A</t>
  </si>
  <si>
    <t>B</t>
  </si>
  <si>
    <t>C</t>
  </si>
  <si>
    <t>D</t>
  </si>
  <si>
    <t>E</t>
  </si>
  <si>
    <t>F</t>
  </si>
  <si>
    <t>G</t>
  </si>
  <si>
    <t>H</t>
  </si>
  <si>
    <t>IDs</t>
  </si>
  <si>
    <t>Std 0</t>
  </si>
  <si>
    <t>SWH_UPCON_LysA_10cm</t>
  </si>
  <si>
    <t>Std 1</t>
  </si>
  <si>
    <t>SWH_UPCON_LysA_20cm</t>
  </si>
  <si>
    <t>Std 2</t>
  </si>
  <si>
    <t>SWH_UPCON_LysA_45cm</t>
  </si>
  <si>
    <t>Std 3</t>
  </si>
  <si>
    <t>SWH_UPCON_LysB_10cm</t>
  </si>
  <si>
    <t>SWH_UP_LysC_45cm</t>
  </si>
  <si>
    <t>Std 4</t>
  </si>
  <si>
    <t>SWH_UPCON_LysB_20cm</t>
  </si>
  <si>
    <t>SWH_TR_LysA_10cm</t>
  </si>
  <si>
    <t>Std 5</t>
  </si>
  <si>
    <t>SWH_TR_LysA_20cm</t>
  </si>
  <si>
    <t>MC: 10ppt</t>
  </si>
  <si>
    <t>MC: 20ppt</t>
  </si>
  <si>
    <t>SWH_TR_LysB_10cm</t>
  </si>
  <si>
    <t>Dilutions</t>
  </si>
  <si>
    <t>MSM_WC_LysC_20cm</t>
  </si>
  <si>
    <t>MSM_WC_LysC_45cm</t>
  </si>
  <si>
    <t>MSM_SW_A</t>
  </si>
  <si>
    <t>MSM_SW_B</t>
  </si>
  <si>
    <t>MSM_SW_C</t>
  </si>
  <si>
    <t>GCW_WC_LysC_20cm</t>
  </si>
  <si>
    <t>GCW_WC_LysC_45cm</t>
  </si>
  <si>
    <t>GCW_SW_A</t>
  </si>
  <si>
    <t>GCW_SW_B</t>
  </si>
  <si>
    <t>GCW_SW_C</t>
  </si>
  <si>
    <t>S</t>
  </si>
  <si>
    <t>SWH_TR_LysA_45cm</t>
  </si>
  <si>
    <t>SWH_TR_LysB_20cm</t>
  </si>
  <si>
    <t>SWH_TR_LysB_45cm</t>
  </si>
  <si>
    <t>SWH_TR_LysC_10cm</t>
  </si>
  <si>
    <t>SWH_TR_LysC_20cm</t>
  </si>
  <si>
    <t>SWH_TR_LysC_45cm</t>
  </si>
  <si>
    <t>SWH_WC_LysA_10cm</t>
  </si>
  <si>
    <t>SWH_WC_LysA_20cm</t>
  </si>
  <si>
    <t>SWH_WC_LysA_45cm</t>
  </si>
  <si>
    <t>SWH_WC_LysA_45cm_dup</t>
  </si>
  <si>
    <t>GWI_UP_LysA_20cm</t>
  </si>
  <si>
    <t>GWI_UP_LysB_20cm</t>
  </si>
  <si>
    <t>GWI_UP_LysC_20cm</t>
  </si>
  <si>
    <t>GWI_UP_LysA_45cm</t>
  </si>
  <si>
    <t>GWI_UP_LysB_10cm</t>
  </si>
  <si>
    <t>GWI_UP_LysC_10cm</t>
  </si>
  <si>
    <t>GWI_TR_LysA_10cm</t>
  </si>
  <si>
    <t>GWI_TR_LysA_20cm</t>
  </si>
  <si>
    <t>GWI_TR_LysA_45cm</t>
  </si>
  <si>
    <t>GWI_TR_LysB_45cm</t>
  </si>
  <si>
    <t>GWI_TR_LysB_10cm</t>
  </si>
  <si>
    <t>GWI_TR_LysB_20cm</t>
  </si>
  <si>
    <t>GWI_WC_LysC_20cm</t>
  </si>
  <si>
    <t>GWI_SW_A</t>
  </si>
  <si>
    <t>GWI_SW_B</t>
  </si>
  <si>
    <t>GWI_SW_C</t>
  </si>
  <si>
    <t>MSM_TR_RHZ_SF_1</t>
  </si>
  <si>
    <t>MSM_TR_RHZ_SF_2</t>
  </si>
  <si>
    <t>MSM_TR_RHZ_SF_3</t>
  </si>
  <si>
    <t>MSM_TR_RHZ_SF_4</t>
  </si>
  <si>
    <t>MSM_TR_RHZ_SF_5</t>
  </si>
  <si>
    <t>MSM_TR_RHZ_SF_6</t>
  </si>
  <si>
    <t>MSM_TR_RHZ_SF_7</t>
  </si>
  <si>
    <t>MSM_TR_RHZ_SF_8</t>
  </si>
  <si>
    <t>MSM_WC_RHZ_Col_1</t>
  </si>
  <si>
    <t>MSM_WC_RHZ_Col_2</t>
  </si>
  <si>
    <t>20230808_0630</t>
  </si>
  <si>
    <t>20230808_0530</t>
  </si>
  <si>
    <t>20230808_0730</t>
  </si>
  <si>
    <t>20230808_0830</t>
  </si>
  <si>
    <t>20230808_0930</t>
  </si>
  <si>
    <t>20230808_1030</t>
  </si>
  <si>
    <t>20230808_1130</t>
  </si>
  <si>
    <t>20230808_1230</t>
  </si>
  <si>
    <t>Plate 8</t>
  </si>
  <si>
    <t>20230816_0530</t>
  </si>
  <si>
    <t>20230816_0630</t>
  </si>
  <si>
    <t>20230816_0730</t>
  </si>
  <si>
    <t>20230816_0830</t>
  </si>
  <si>
    <t>20230816_0930</t>
  </si>
  <si>
    <t>20230816_1030</t>
  </si>
  <si>
    <t>20230816_1130</t>
  </si>
  <si>
    <t>20230816_1230</t>
  </si>
  <si>
    <t>20230816_1330</t>
  </si>
  <si>
    <t>20230816_1430</t>
  </si>
  <si>
    <t>20230816_1530</t>
  </si>
  <si>
    <t>20230816_1630</t>
  </si>
  <si>
    <t>20230816_1730</t>
  </si>
  <si>
    <t>20230816_1730_dup</t>
  </si>
  <si>
    <t>20230815_GW1</t>
  </si>
  <si>
    <t>20230815_GW1_spk</t>
  </si>
  <si>
    <t>20230815_GW2</t>
  </si>
  <si>
    <t>20230815_GW3</t>
  </si>
  <si>
    <t>20230815_GW4</t>
  </si>
  <si>
    <t>20230815_GW5</t>
  </si>
  <si>
    <t>20230815_GW6</t>
  </si>
  <si>
    <t>20230816_GW_T1_NW5</t>
  </si>
  <si>
    <t>20230816_GW_T2_NW1</t>
  </si>
  <si>
    <t>20230808_1330</t>
  </si>
  <si>
    <t>20230808_1430</t>
  </si>
  <si>
    <t>20230808_1530</t>
  </si>
  <si>
    <t>20230808_1630</t>
  </si>
  <si>
    <t>20230808_1730</t>
  </si>
  <si>
    <t>20230808_1730_dup</t>
  </si>
  <si>
    <t>20230807_GW1</t>
  </si>
  <si>
    <t>20230807_GW1_spk</t>
  </si>
  <si>
    <t>20230807_GW2</t>
  </si>
  <si>
    <t>20230807_GW3</t>
  </si>
  <si>
    <t>20230807_GW4</t>
  </si>
  <si>
    <t>20230807_GW5</t>
  </si>
  <si>
    <t>20230807_GW6</t>
  </si>
  <si>
    <t>MSM_UP_LysA_20cm</t>
  </si>
  <si>
    <t>MSM_UP_LysC_20cm</t>
  </si>
  <si>
    <t>MSM_UP_LysA_45cm</t>
  </si>
  <si>
    <t>MSM_UP_LysB_10cm</t>
  </si>
  <si>
    <t>MSM_UP_LysB_45cm</t>
  </si>
  <si>
    <t>MSM_UP_LysC_10cm</t>
  </si>
  <si>
    <t>MSM_UP_LysC_45cm</t>
  </si>
  <si>
    <t>MSM_TR_LysA_10cm</t>
  </si>
  <si>
    <t>MSM_TR_LysA_20cm</t>
  </si>
  <si>
    <t>MSM_TR_LysB_10cm</t>
  </si>
  <si>
    <t>MSM_TR_LysA_45cm</t>
  </si>
  <si>
    <t>MSM_TR_LysB_20cm</t>
  </si>
  <si>
    <t>MSM_TR_LysB_45cm</t>
  </si>
  <si>
    <t>MSM_TR_LysB_45cm_dup</t>
  </si>
  <si>
    <t>MSM_TR_LysC_10cm</t>
  </si>
  <si>
    <t>MSM_TR_LysC_10cm_spk</t>
  </si>
  <si>
    <t>MSM_TR_LysC_20cm</t>
  </si>
  <si>
    <t>MSM_TR_LysC_45cm</t>
  </si>
  <si>
    <t>MSM_WC_LysA_10cm</t>
  </si>
  <si>
    <t>MSM_WC_LysA_20cm</t>
  </si>
  <si>
    <t>MSM_WC_LysA_45cm</t>
  </si>
  <si>
    <t>MSM_WC_LysB_10cm</t>
  </si>
  <si>
    <t>MSM_WC_LysB_20cm</t>
  </si>
  <si>
    <t>MSM_WC_LysC_10cm</t>
  </si>
  <si>
    <t>GCW_UP_LysA_20cm</t>
  </si>
  <si>
    <t>GCW_UP_LysB_20cm</t>
  </si>
  <si>
    <t>GCW_TR_LysA_20cm</t>
  </si>
  <si>
    <t>GCW_TR_LysA_45cm</t>
  </si>
  <si>
    <t>GCW_TR_LysB_45cm</t>
  </si>
  <si>
    <t>GCW_TR_LysB_10cm</t>
  </si>
  <si>
    <t>GCW_TR_LysB_20cm</t>
  </si>
  <si>
    <t>GCW_TR_LysC_10cm</t>
  </si>
  <si>
    <t>GCW_TR_LysC_10cm_dup</t>
  </si>
  <si>
    <t>GCW_TR_LysC_20cm</t>
  </si>
  <si>
    <t>GCW_TR_LysC_20cm_spk</t>
  </si>
  <si>
    <t>GCW_TR_LysC_45cm</t>
  </si>
  <si>
    <t>GCW_WC_LysA_10cm</t>
  </si>
  <si>
    <t>GCW_WC_LysA_20cm</t>
  </si>
  <si>
    <t>GCW_WC_LysA_45cm</t>
  </si>
  <si>
    <t>GCW_WC_LysB_10cm</t>
  </si>
  <si>
    <t>GCW_WC_LysB_20cm</t>
  </si>
  <si>
    <t>GCW_WC_LysB_45cm</t>
  </si>
  <si>
    <t>GCW_WC_LysC_10cm</t>
  </si>
  <si>
    <t>SWH_UPCON_LysB_45cm</t>
  </si>
  <si>
    <t>SWH_UPCON_LysC_10cm</t>
  </si>
  <si>
    <t>SWH_UPCON_LysC_20cm</t>
  </si>
  <si>
    <t>SWH_UPCON_LysC_20cm_dup</t>
  </si>
  <si>
    <t>SWH_UPCON_LysC_45cm</t>
  </si>
  <si>
    <t>SWH_UPCON_LysC_45cm_spk</t>
  </si>
  <si>
    <t>SWH_UP_LysA_10cm</t>
  </si>
  <si>
    <t>SWH_UP_LysB_20cm</t>
  </si>
  <si>
    <t>SWH_UP_LysA_20cm</t>
  </si>
  <si>
    <t>SWH_UP_LysA_45cm</t>
  </si>
  <si>
    <t>SWH_UP_LysB_10cm</t>
  </si>
  <si>
    <t>SWH_UP_LysB_45cm</t>
  </si>
  <si>
    <t>SWH_UP_LysC_20cm</t>
  </si>
  <si>
    <t>SWH_UP_LysC_10cm</t>
  </si>
  <si>
    <t>SWH_TR_LysA_45cm_redo</t>
  </si>
  <si>
    <t>SWH_TR_LysB_45cm_redo</t>
  </si>
  <si>
    <t>SHW_WC_LysB_10cm</t>
  </si>
  <si>
    <t>SWH_WC_LysB_10cm_spk</t>
  </si>
  <si>
    <t>SWH_WC_LysB_20cm</t>
  </si>
  <si>
    <t>SWH_WC_LysB_45cm</t>
  </si>
  <si>
    <t>SWH_WC_LysC_10cm</t>
  </si>
  <si>
    <t>SWH_WC_LysC_20cm</t>
  </si>
  <si>
    <t>SWH_WC_LysC_45cm</t>
  </si>
  <si>
    <t>SWH_SW_A</t>
  </si>
  <si>
    <t>SWH_SW_B</t>
  </si>
  <si>
    <t>SWH_SW_C</t>
  </si>
  <si>
    <t>GWI_TR_LysB_20cm_redo</t>
  </si>
  <si>
    <t>GWI_TR_LysC_10cm</t>
  </si>
  <si>
    <t>GWI_TR_LysC_10cm_dup</t>
  </si>
  <si>
    <t>GWI_TR_LysC_20cm</t>
  </si>
  <si>
    <t>GWI_TR_LysC_20cm_spk</t>
  </si>
  <si>
    <t>GWI_TR_LysC_45cm</t>
  </si>
  <si>
    <t>GWI_WC_LysA_10cm</t>
  </si>
  <si>
    <t>GWI_WC_LysA_20cm</t>
  </si>
  <si>
    <t>GWI_WC_LysA_45cm</t>
  </si>
  <si>
    <t>GWI_WC_LysB_10cm</t>
  </si>
  <si>
    <t>GWI_WC_LysB_20cm</t>
  </si>
  <si>
    <t>GWI_WC_LysB_45cm</t>
  </si>
  <si>
    <t>GWI_WC_LysC_10cm</t>
  </si>
  <si>
    <t>MSM_WC_RHZ_Col_1_dup</t>
  </si>
  <si>
    <t>MSM_WC_RHZ_Col_2_spk</t>
  </si>
  <si>
    <t>MSM_WC_RHZ_Sip_A</t>
  </si>
  <si>
    <t>MSM_WC_RHZ_Sip_B</t>
  </si>
  <si>
    <t>MSM_WC_RHZ_Sip_C</t>
  </si>
  <si>
    <t>MSM_WC_RHZ_Col_3</t>
  </si>
  <si>
    <t>MSM_WC_RHZ_Col_4</t>
  </si>
  <si>
    <t>MSM_WC_RHZ_Col_5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</si>
</sst>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117629046369204"/>
                  <c:y val="0.291714056576261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STDs!$A$3:$A$8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STDs!$B$3:$B$8</c:f>
              <c:numCache>
                <c:formatCode>General</c:formatCode>
                <c:ptCount val="6"/>
                <c:pt idx="0">
                  <c:v>5.0666666666666665E-2</c:v>
                </c:pt>
                <c:pt idx="1">
                  <c:v>0.13566666666666669</c:v>
                </c:pt>
                <c:pt idx="2">
                  <c:v>0.23949999999999999</c:v>
                </c:pt>
                <c:pt idx="3">
                  <c:v>0.42399999999999999</c:v>
                </c:pt>
                <c:pt idx="4">
                  <c:v>0.76</c:v>
                </c:pt>
                <c:pt idx="5">
                  <c:v>1.232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D3-4872-93C2-9FFD3E121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314800"/>
        <c:axId val="534320200"/>
      </c:scatterChart>
      <c:valAx>
        <c:axId val="53431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20200"/>
        <c:crosses val="autoZero"/>
        <c:crossBetween val="midCat"/>
      </c:valAx>
      <c:valAx>
        <c:axId val="534320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1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STDs!$B$13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586126984963"/>
                  <c:y val="0.195582822085889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STDs!$A$14:$A$21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STDs!$B$14:$B$21</c:f>
              <c:numCache>
                <c:formatCode>General</c:formatCode>
                <c:ptCount val="8"/>
                <c:pt idx="0">
                  <c:v>4.933333333333334E-2</c:v>
                </c:pt>
                <c:pt idx="1">
                  <c:v>0.14599999999999999</c:v>
                </c:pt>
                <c:pt idx="2">
                  <c:v>0.254</c:v>
                </c:pt>
                <c:pt idx="3">
                  <c:v>0.47633333333333333</c:v>
                </c:pt>
                <c:pt idx="4">
                  <c:v>0.85399999999999998</c:v>
                </c:pt>
                <c:pt idx="5">
                  <c:v>1.2565</c:v>
                </c:pt>
                <c:pt idx="6">
                  <c:v>1.2733333333333334</c:v>
                </c:pt>
                <c:pt idx="7">
                  <c:v>1.2390000000000001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34-48EC-8CF3-4926B9F3E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01504"/>
        <c:axId val="191502584"/>
      </c:scatterChart>
      <c:valAx>
        <c:axId val="19150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02584"/>
        <c:crosses val="autoZero"/>
        <c:crossBetween val="midCat"/>
      </c:valAx>
      <c:valAx>
        <c:axId val="191502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0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STDs!$B$24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STDs!$A$25:$A$32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STDs!$B$25:$B$32</c:f>
              <c:numCache>
                <c:formatCode>General</c:formatCode>
                <c:ptCount val="8"/>
                <c:pt idx="0">
                  <c:v>5.2666666666666667E-2</c:v>
                </c:pt>
                <c:pt idx="1">
                  <c:v>0.14433333333333334</c:v>
                </c:pt>
                <c:pt idx="2">
                  <c:v>0.3175</c:v>
                </c:pt>
                <c:pt idx="3">
                  <c:v>0.4415</c:v>
                </c:pt>
                <c:pt idx="4">
                  <c:v>0.82099999999999995</c:v>
                </c:pt>
                <c:pt idx="5">
                  <c:v>1.3305</c:v>
                </c:pt>
                <c:pt idx="6">
                  <c:v>1.3096666666666665</c:v>
                </c:pt>
                <c:pt idx="7">
                  <c:v>1.3163333333333334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5B-4BA4-8B10-DDC82CE4B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986768"/>
        <c:axId val="565987128"/>
      </c:scatterChart>
      <c:valAx>
        <c:axId val="56598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87128"/>
        <c:crosses val="autoZero"/>
        <c:crossBetween val="midCat"/>
      </c:valAx>
      <c:valAx>
        <c:axId val="565987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86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STDs!$B$35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3753016752101103E-2"/>
                  <c:y val="0.292187675395692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STDs!$A$36:$A$43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STDs!$B$36:$B$43</c:f>
              <c:numCache>
                <c:formatCode>General</c:formatCode>
                <c:ptCount val="8"/>
                <c:pt idx="0">
                  <c:v>5.1666666666666666E-2</c:v>
                </c:pt>
                <c:pt idx="1">
                  <c:v>0.128</c:v>
                </c:pt>
                <c:pt idx="2">
                  <c:v>0.33766666666666662</c:v>
                </c:pt>
                <c:pt idx="3">
                  <c:v>0.52849999999999997</c:v>
                </c:pt>
                <c:pt idx="4">
                  <c:v>0.80149999999999999</c:v>
                </c:pt>
                <c:pt idx="5">
                  <c:v>1.3576666666666668</c:v>
                </c:pt>
                <c:pt idx="6">
                  <c:v>1.3259999999999998</c:v>
                </c:pt>
                <c:pt idx="7">
                  <c:v>1.3109999999999999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E3-4136-B445-ED43CCA64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045800"/>
        <c:axId val="453049040"/>
      </c:scatterChart>
      <c:valAx>
        <c:axId val="453045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049040"/>
        <c:crosses val="autoZero"/>
        <c:crossBetween val="midCat"/>
      </c:valAx>
      <c:valAx>
        <c:axId val="45304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045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STDs!$B$46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374584426946631E-2"/>
                  <c:y val="0.290275590551181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STDs!$A$47:$A$54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STDs!$B$47:$B$54</c:f>
              <c:numCache>
                <c:formatCode>General</c:formatCode>
                <c:ptCount val="8"/>
                <c:pt idx="0">
                  <c:v>4.9666666666666665E-2</c:v>
                </c:pt>
                <c:pt idx="1">
                  <c:v>0.13666666666666669</c:v>
                </c:pt>
                <c:pt idx="2">
                  <c:v>0.26533333333333331</c:v>
                </c:pt>
                <c:pt idx="3">
                  <c:v>0.46599999999999997</c:v>
                </c:pt>
                <c:pt idx="4">
                  <c:v>0.85599999999999998</c:v>
                </c:pt>
                <c:pt idx="5">
                  <c:v>1.3816666666666666</c:v>
                </c:pt>
                <c:pt idx="6">
                  <c:v>1.3360000000000001</c:v>
                </c:pt>
                <c:pt idx="7">
                  <c:v>1.4139999999999999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BD-40D0-BA83-5537C2419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321280"/>
        <c:axId val="439744792"/>
      </c:scatterChart>
      <c:valAx>
        <c:axId val="53432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744792"/>
        <c:crosses val="autoZero"/>
        <c:crossBetween val="midCat"/>
      </c:valAx>
      <c:valAx>
        <c:axId val="43974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2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STDs!$B$57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STDs!$A$58:$A$63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STDs!$B$58:$B$63</c:f>
              <c:numCache>
                <c:formatCode>General</c:formatCode>
                <c:ptCount val="6"/>
                <c:pt idx="0">
                  <c:v>5.1333333333333335E-2</c:v>
                </c:pt>
                <c:pt idx="1">
                  <c:v>0.13766666666666669</c:v>
                </c:pt>
                <c:pt idx="2">
                  <c:v>0.28466666666666668</c:v>
                </c:pt>
                <c:pt idx="3">
                  <c:v>0.47599999999999998</c:v>
                </c:pt>
                <c:pt idx="4">
                  <c:v>0.86099999999999999</c:v>
                </c:pt>
                <c:pt idx="5">
                  <c:v>1.4079999999999999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8F-4FCC-B237-9E3F28D03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985328"/>
        <c:axId val="565982448"/>
      </c:scatterChart>
      <c:valAx>
        <c:axId val="56598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82448"/>
        <c:crosses val="autoZero"/>
        <c:crossBetween val="midCat"/>
      </c:valAx>
      <c:valAx>
        <c:axId val="56598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85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STDs!$B$69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8079177602799652E-2"/>
                  <c:y val="0.221805555555555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STDs!$A$70:$A$75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STDs!$B$70:$B$75</c:f>
              <c:numCache>
                <c:formatCode>General</c:formatCode>
                <c:ptCount val="6"/>
                <c:pt idx="0">
                  <c:v>5.1333333333333335E-2</c:v>
                </c:pt>
                <c:pt idx="1">
                  <c:v>0.127</c:v>
                </c:pt>
                <c:pt idx="2">
                  <c:v>0.30933333333333335</c:v>
                </c:pt>
                <c:pt idx="3">
                  <c:v>0.50150000000000006</c:v>
                </c:pt>
                <c:pt idx="4">
                  <c:v>0.86499999999999999</c:v>
                </c:pt>
                <c:pt idx="5">
                  <c:v>1.405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29-48A1-99E0-2AD1274BD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874352"/>
        <c:axId val="384876512"/>
      </c:scatterChart>
      <c:valAx>
        <c:axId val="38487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76512"/>
        <c:crosses val="autoZero"/>
        <c:crossBetween val="midCat"/>
      </c:valAx>
      <c:valAx>
        <c:axId val="38487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74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STDs!$B$80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75236220472441"/>
                  <c:y val="0.278340259550889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STDs!$A$81:$A$86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STDs!$B$81:$B$86</c:f>
              <c:numCache>
                <c:formatCode>General</c:formatCode>
                <c:ptCount val="6"/>
                <c:pt idx="0">
                  <c:v>5.1000000000000011E-2</c:v>
                </c:pt>
                <c:pt idx="1">
                  <c:v>0.13933333333333334</c:v>
                </c:pt>
                <c:pt idx="2">
                  <c:v>0.29633333333333334</c:v>
                </c:pt>
                <c:pt idx="3">
                  <c:v>0.49299999999999999</c:v>
                </c:pt>
                <c:pt idx="4">
                  <c:v>0.85033333333333339</c:v>
                </c:pt>
                <c:pt idx="5">
                  <c:v>1.33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C1-49F5-B021-2C021638B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786256"/>
        <c:axId val="524784816"/>
      </c:scatterChart>
      <c:valAx>
        <c:axId val="52478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784816"/>
        <c:crosses val="autoZero"/>
        <c:crossBetween val="midCat"/>
      </c:valAx>
      <c:valAx>
        <c:axId val="52478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78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185737</xdr:rowOff>
    </xdr:from>
    <xdr:to>
      <xdr:col>11</xdr:col>
      <xdr:colOff>381000</xdr:colOff>
      <xdr:row>11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C2899AF-A464-3DFD-A438-25352AE1E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</xdr:colOff>
      <xdr:row>12</xdr:row>
      <xdr:rowOff>66674</xdr:rowOff>
    </xdr:from>
    <xdr:to>
      <xdr:col>11</xdr:col>
      <xdr:colOff>123825</xdr:colOff>
      <xdr:row>21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EFA5922-9C0E-39CE-ECDD-651E45747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509587</xdr:colOff>
      <xdr:row>22</xdr:row>
      <xdr:rowOff>28575</xdr:rowOff>
    </xdr:from>
    <xdr:to>
      <xdr:col>11</xdr:col>
      <xdr:colOff>295275</xdr:colOff>
      <xdr:row>32</xdr:row>
      <xdr:rowOff>142875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A522CC4-1CB3-A98F-0FD4-511F71BEE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519112</xdr:colOff>
      <xdr:row>33</xdr:row>
      <xdr:rowOff>100012</xdr:rowOff>
    </xdr:from>
    <xdr:to>
      <xdr:col>11</xdr:col>
      <xdr:colOff>333375</xdr:colOff>
      <xdr:row>44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ABD6167-0959-E3F8-4C76-19EF0C1BD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485774</xdr:colOff>
      <xdr:row>44</xdr:row>
      <xdr:rowOff>180974</xdr:rowOff>
    </xdr:from>
    <xdr:to>
      <xdr:col>11</xdr:col>
      <xdr:colOff>42861</xdr:colOff>
      <xdr:row>55</xdr:row>
      <xdr:rowOff>42861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E190518-15C1-D2A1-6BAD-F59920127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319087</xdr:colOff>
      <xdr:row>55</xdr:row>
      <xdr:rowOff>138112</xdr:rowOff>
    </xdr:from>
    <xdr:to>
      <xdr:col>11</xdr:col>
      <xdr:colOff>285750</xdr:colOff>
      <xdr:row>65</xdr:row>
      <xdr:rowOff>123825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F443503-920B-BC6D-5DD8-85CA9D4B2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309562</xdr:colOff>
      <xdr:row>67</xdr:row>
      <xdr:rowOff>71437</xdr:rowOff>
    </xdr:from>
    <xdr:to>
      <xdr:col>11</xdr:col>
      <xdr:colOff>47625</xdr:colOff>
      <xdr:row>77</xdr:row>
      <xdr:rowOff>57150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83FB32F-1969-34A5-0526-8EA5971A9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271462</xdr:colOff>
      <xdr:row>78</xdr:row>
      <xdr:rowOff>109537</xdr:rowOff>
    </xdr:from>
    <xdr:to>
      <xdr:col>11</xdr:col>
      <xdr:colOff>152400</xdr:colOff>
      <xdr:row>90</xdr:row>
      <xdr:rowOff>66675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837E5DD-AB26-7DE3-9892-FB4694353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E2FE-3BC4-4229-ADA9-D9190AFABF3C}">
  <dimension ref="A1:E88"/>
  <sheetViews>
    <sheetView topLeftCell="A73" workbookViewId="0">
      <selection activeCell="A73" sqref="A1:XFD1048576"/>
    </sheetView>
  </sheetViews>
  <sheetFormatPr defaultRowHeight="15" x14ac:dyDescent="0.25"/>
  <sheetData>
    <row r="1" spans="1:5" x14ac:dyDescent="0.25">
      <c r="A1" s="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>
        <v>0</v>
      </c>
      <c r="B3">
        <f>AVERAGE(C3:E3)</f>
        <v>5.0666666666666665E-2</v>
      </c>
      <c r="C3" s="2">
        <v>0.05</v>
      </c>
      <c r="D3" s="2">
        <v>0.05</v>
      </c>
      <c r="E3" s="2">
        <v>5.1999999999999998E-2</v>
      </c>
    </row>
    <row r="4" spans="1:5" x14ac:dyDescent="0.25">
      <c r="A4">
        <v>5</v>
      </c>
      <c r="B4">
        <f>AVERAGE(C4:E4)</f>
        <v>0.13566666666666669</v>
      </c>
      <c r="C4" s="2">
        <v>0.158</v>
      </c>
      <c r="D4" s="2">
        <v>0.11899999999999999</v>
      </c>
      <c r="E4" s="2">
        <v>0.13</v>
      </c>
    </row>
    <row r="5" spans="1:5" x14ac:dyDescent="0.25">
      <c r="A5">
        <v>12.5</v>
      </c>
      <c r="B5">
        <f>AVERAGE(C5:D5)</f>
        <v>0.23949999999999999</v>
      </c>
      <c r="C5" s="2">
        <v>0.24</v>
      </c>
      <c r="D5" s="2">
        <v>0.23899999999999999</v>
      </c>
      <c r="E5" s="2">
        <v>0.24399999999999999</v>
      </c>
    </row>
    <row r="6" spans="1:5" x14ac:dyDescent="0.25">
      <c r="A6">
        <v>25</v>
      </c>
      <c r="B6">
        <f>AVERAGE(C6:E6)</f>
        <v>0.42399999999999999</v>
      </c>
      <c r="C6" s="2">
        <v>0.42399999999999999</v>
      </c>
      <c r="D6" s="2">
        <v>0.436</v>
      </c>
      <c r="E6" s="2">
        <v>0.41199999999999998</v>
      </c>
    </row>
    <row r="7" spans="1:5" x14ac:dyDescent="0.25">
      <c r="A7">
        <v>50</v>
      </c>
      <c r="B7">
        <f>AVERAGE(C7,E7)</f>
        <v>0.76</v>
      </c>
      <c r="C7" s="2">
        <v>0.77700000000000002</v>
      </c>
      <c r="D7" s="2">
        <v>0.71299999999999997</v>
      </c>
      <c r="E7" s="2">
        <v>0.74299999999999999</v>
      </c>
    </row>
    <row r="8" spans="1:5" x14ac:dyDescent="0.25">
      <c r="A8">
        <v>100</v>
      </c>
      <c r="B8">
        <f>AVERAGE(C8:D8)</f>
        <v>1.232</v>
      </c>
      <c r="C8" s="2">
        <v>1.2689999999999999</v>
      </c>
      <c r="D8" s="2">
        <v>1.1950000000000001</v>
      </c>
      <c r="E8" s="2">
        <v>1.23</v>
      </c>
    </row>
    <row r="9" spans="1:5" x14ac:dyDescent="0.25">
      <c r="A9">
        <v>100</v>
      </c>
      <c r="B9">
        <f>AVERAGE(C9:E9)</f>
        <v>0.92866666666666664</v>
      </c>
      <c r="C9" s="2">
        <v>0.72399999999999998</v>
      </c>
      <c r="D9" s="2">
        <v>1.075</v>
      </c>
      <c r="E9" s="2">
        <v>0.98699999999999999</v>
      </c>
    </row>
    <row r="10" spans="1:5" x14ac:dyDescent="0.25">
      <c r="A10">
        <v>100</v>
      </c>
      <c r="B10">
        <f>AVERAGE(C10:E10)</f>
        <v>1.3003333333333333</v>
      </c>
      <c r="C10" s="2">
        <v>1.2949999999999999</v>
      </c>
      <c r="D10" s="2">
        <v>1.276</v>
      </c>
      <c r="E10" s="2">
        <v>1.33</v>
      </c>
    </row>
    <row r="12" spans="1:5" x14ac:dyDescent="0.25">
      <c r="A12" s="1" t="s">
        <v>6</v>
      </c>
    </row>
    <row r="13" spans="1:5" x14ac:dyDescent="0.25">
      <c r="A13" t="s">
        <v>1</v>
      </c>
      <c r="B13" t="s">
        <v>2</v>
      </c>
      <c r="C13" t="s">
        <v>3</v>
      </c>
      <c r="D13" t="s">
        <v>4</v>
      </c>
      <c r="E13" t="s">
        <v>5</v>
      </c>
    </row>
    <row r="14" spans="1:5" x14ac:dyDescent="0.25">
      <c r="A14">
        <v>0</v>
      </c>
      <c r="B14">
        <f>AVERAGE(C14:E14)</f>
        <v>4.933333333333334E-2</v>
      </c>
      <c r="C14" s="2">
        <v>0.05</v>
      </c>
      <c r="D14" s="2">
        <v>4.9000000000000002E-2</v>
      </c>
      <c r="E14" s="2">
        <v>4.9000000000000002E-2</v>
      </c>
    </row>
    <row r="15" spans="1:5" x14ac:dyDescent="0.25">
      <c r="A15">
        <v>5</v>
      </c>
      <c r="B15">
        <f>AVERAGE(C15:E15)</f>
        <v>0.14599999999999999</v>
      </c>
      <c r="C15" s="2">
        <v>0.17699999999999999</v>
      </c>
      <c r="D15" s="2">
        <v>0.14299999999999999</v>
      </c>
      <c r="E15" s="2">
        <v>0.11799999999999999</v>
      </c>
    </row>
    <row r="16" spans="1:5" x14ac:dyDescent="0.25">
      <c r="A16">
        <v>12.5</v>
      </c>
      <c r="B16">
        <f>AVERAGE(C16:E16)</f>
        <v>0.254</v>
      </c>
      <c r="C16" s="2">
        <v>0.26200000000000001</v>
      </c>
      <c r="D16" s="2">
        <v>0.215</v>
      </c>
      <c r="E16" s="2">
        <v>0.28499999999999998</v>
      </c>
    </row>
    <row r="17" spans="1:5" x14ac:dyDescent="0.25">
      <c r="A17">
        <v>25</v>
      </c>
      <c r="B17">
        <f>AVERAGE(C17:E17)</f>
        <v>0.47633333333333333</v>
      </c>
      <c r="C17" s="2">
        <v>0.39300000000000002</v>
      </c>
      <c r="D17" s="2">
        <v>0.54300000000000004</v>
      </c>
      <c r="E17" s="2">
        <v>0.49299999999999999</v>
      </c>
    </row>
    <row r="18" spans="1:5" x14ac:dyDescent="0.25">
      <c r="A18">
        <v>50</v>
      </c>
      <c r="B18">
        <f>AVERAGE(C18,D18)</f>
        <v>0.85399999999999998</v>
      </c>
      <c r="C18" s="2">
        <v>0.83499999999999996</v>
      </c>
      <c r="D18" s="2">
        <v>0.873</v>
      </c>
      <c r="E18" s="2">
        <v>0.91700000000000004</v>
      </c>
    </row>
    <row r="19" spans="1:5" x14ac:dyDescent="0.25">
      <c r="A19">
        <v>100</v>
      </c>
      <c r="B19">
        <f>AVERAGE(D19:E19)</f>
        <v>1.2565</v>
      </c>
      <c r="C19" s="2">
        <v>1.236</v>
      </c>
      <c r="D19" s="2">
        <v>1.278</v>
      </c>
      <c r="E19" s="2">
        <v>1.2350000000000001</v>
      </c>
    </row>
    <row r="20" spans="1:5" x14ac:dyDescent="0.25">
      <c r="A20">
        <v>100</v>
      </c>
      <c r="B20">
        <f>AVERAGE(C20:E20)</f>
        <v>1.2733333333333334</v>
      </c>
      <c r="C20" s="2">
        <v>1.224</v>
      </c>
      <c r="D20" s="2">
        <v>1.306</v>
      </c>
      <c r="E20" s="2">
        <v>1.29</v>
      </c>
    </row>
    <row r="21" spans="1:5" x14ac:dyDescent="0.25">
      <c r="A21">
        <v>100</v>
      </c>
      <c r="B21">
        <f>AVERAGE(C21:E21)</f>
        <v>1.2390000000000001</v>
      </c>
      <c r="C21" s="2">
        <v>1.22</v>
      </c>
      <c r="D21" s="2">
        <v>1.3440000000000001</v>
      </c>
      <c r="E21" s="2">
        <v>1.153</v>
      </c>
    </row>
    <row r="23" spans="1:5" x14ac:dyDescent="0.25">
      <c r="A23" s="1" t="s">
        <v>7</v>
      </c>
    </row>
    <row r="24" spans="1:5" x14ac:dyDescent="0.25">
      <c r="A24" t="s">
        <v>1</v>
      </c>
      <c r="B24" t="s">
        <v>2</v>
      </c>
      <c r="C24" t="s">
        <v>3</v>
      </c>
      <c r="D24" t="s">
        <v>4</v>
      </c>
      <c r="E24" t="s">
        <v>5</v>
      </c>
    </row>
    <row r="25" spans="1:5" x14ac:dyDescent="0.25">
      <c r="A25">
        <v>0</v>
      </c>
      <c r="B25">
        <f>AVERAGE(C25:E25)</f>
        <v>5.2666666666666667E-2</v>
      </c>
      <c r="C25" s="2">
        <v>4.9000000000000002E-2</v>
      </c>
      <c r="D25" s="2">
        <v>5.6000000000000001E-2</v>
      </c>
      <c r="E25" s="2">
        <v>5.2999999999999999E-2</v>
      </c>
    </row>
    <row r="26" spans="1:5" x14ac:dyDescent="0.25">
      <c r="A26">
        <v>5</v>
      </c>
      <c r="B26">
        <f>AVERAGE(C26:E26)</f>
        <v>0.14433333333333334</v>
      </c>
      <c r="C26" s="2">
        <v>0.16800000000000001</v>
      </c>
      <c r="D26" s="2">
        <v>0.13100000000000001</v>
      </c>
      <c r="E26" s="2">
        <v>0.13400000000000001</v>
      </c>
    </row>
    <row r="27" spans="1:5" x14ac:dyDescent="0.25">
      <c r="A27">
        <v>12.5</v>
      </c>
      <c r="B27">
        <f>AVERAGE(C27:D27)</f>
        <v>0.3175</v>
      </c>
      <c r="C27" s="2">
        <v>0.311</v>
      </c>
      <c r="D27" s="2">
        <v>0.32400000000000001</v>
      </c>
      <c r="E27" s="2">
        <v>0.26700000000000002</v>
      </c>
    </row>
    <row r="28" spans="1:5" x14ac:dyDescent="0.25">
      <c r="A28">
        <v>25</v>
      </c>
      <c r="B28">
        <f>AVERAGE(C28,E28)</f>
        <v>0.4415</v>
      </c>
      <c r="C28" s="2">
        <v>0.42199999999999999</v>
      </c>
      <c r="D28" s="2">
        <v>0.48099999999999998</v>
      </c>
      <c r="E28" s="2">
        <v>0.46100000000000002</v>
      </c>
    </row>
    <row r="29" spans="1:5" x14ac:dyDescent="0.25">
      <c r="A29">
        <v>50</v>
      </c>
      <c r="B29">
        <f>AVERAGE(C29:D29)</f>
        <v>0.82099999999999995</v>
      </c>
      <c r="C29" s="2">
        <v>0.78400000000000003</v>
      </c>
      <c r="D29" s="2">
        <v>0.85799999999999998</v>
      </c>
      <c r="E29" s="2">
        <v>0.86299999999999999</v>
      </c>
    </row>
    <row r="30" spans="1:5" x14ac:dyDescent="0.25">
      <c r="A30">
        <v>100</v>
      </c>
      <c r="B30">
        <f>AVERAGE(C30:D30)</f>
        <v>1.3305</v>
      </c>
      <c r="C30" s="2">
        <v>1.264</v>
      </c>
      <c r="D30" s="2">
        <v>1.397</v>
      </c>
      <c r="E30" s="2">
        <v>1.4319999999999999</v>
      </c>
    </row>
    <row r="31" spans="1:5" x14ac:dyDescent="0.25">
      <c r="A31">
        <v>100</v>
      </c>
      <c r="B31">
        <f>AVERAGE(C31:E31)</f>
        <v>1.3096666666666665</v>
      </c>
      <c r="C31" s="2">
        <v>1.343</v>
      </c>
      <c r="D31" s="2">
        <v>1.319</v>
      </c>
      <c r="E31" s="2">
        <v>1.2669999999999999</v>
      </c>
    </row>
    <row r="32" spans="1:5" x14ac:dyDescent="0.25">
      <c r="A32">
        <v>100</v>
      </c>
      <c r="B32">
        <f>AVERAGE(C32:E32)</f>
        <v>1.3163333333333334</v>
      </c>
      <c r="C32" s="2">
        <v>1.3</v>
      </c>
      <c r="D32" s="2">
        <v>1.2649999999999999</v>
      </c>
      <c r="E32" s="2">
        <v>1.3839999999999999</v>
      </c>
    </row>
    <row r="34" spans="1:5" x14ac:dyDescent="0.25">
      <c r="A34" s="1" t="s">
        <v>8</v>
      </c>
    </row>
    <row r="35" spans="1:5" x14ac:dyDescent="0.25">
      <c r="A35" t="s">
        <v>1</v>
      </c>
      <c r="B35" t="s">
        <v>2</v>
      </c>
      <c r="C35" t="s">
        <v>3</v>
      </c>
      <c r="D35" t="s">
        <v>4</v>
      </c>
      <c r="E35" t="s">
        <v>5</v>
      </c>
    </row>
    <row r="36" spans="1:5" x14ac:dyDescent="0.25">
      <c r="A36">
        <v>0</v>
      </c>
      <c r="B36">
        <f>AVERAGE(C36:E36)</f>
        <v>5.1666666666666666E-2</v>
      </c>
      <c r="C36" s="2">
        <v>5.1999999999999998E-2</v>
      </c>
      <c r="D36" s="2">
        <v>5.2999999999999999E-2</v>
      </c>
      <c r="E36" s="2">
        <v>0.05</v>
      </c>
    </row>
    <row r="37" spans="1:5" x14ac:dyDescent="0.25">
      <c r="A37">
        <v>5</v>
      </c>
      <c r="B37">
        <f>AVERAGE(C37:E37)</f>
        <v>0.128</v>
      </c>
      <c r="C37" s="2">
        <v>0.11899999999999999</v>
      </c>
      <c r="D37" s="2">
        <v>0.14499999999999999</v>
      </c>
      <c r="E37" s="2">
        <v>0.12</v>
      </c>
    </row>
    <row r="38" spans="1:5" x14ac:dyDescent="0.25">
      <c r="A38">
        <v>12.5</v>
      </c>
      <c r="B38">
        <f>AVERAGE(C38:E38)</f>
        <v>0.33766666666666662</v>
      </c>
      <c r="C38" s="2">
        <v>0.33100000000000002</v>
      </c>
      <c r="D38" s="2">
        <v>0.29699999999999999</v>
      </c>
      <c r="E38" s="2">
        <v>0.38500000000000001</v>
      </c>
    </row>
    <row r="39" spans="1:5" x14ac:dyDescent="0.25">
      <c r="A39">
        <v>25</v>
      </c>
      <c r="B39">
        <f>AVERAGE(C39,D39)</f>
        <v>0.52849999999999997</v>
      </c>
      <c r="C39" s="2">
        <v>0.54600000000000004</v>
      </c>
      <c r="D39" s="2">
        <v>0.51100000000000001</v>
      </c>
      <c r="E39" s="2">
        <v>0.63700000000000001</v>
      </c>
    </row>
    <row r="40" spans="1:5" x14ac:dyDescent="0.25">
      <c r="A40">
        <v>50</v>
      </c>
      <c r="B40">
        <f>AVERAGE(D40:E40)</f>
        <v>0.80149999999999999</v>
      </c>
      <c r="C40" s="2">
        <v>0.90900000000000003</v>
      </c>
      <c r="D40" s="2">
        <v>0.86599999999999999</v>
      </c>
      <c r="E40" s="2">
        <v>0.73699999999999999</v>
      </c>
    </row>
    <row r="41" spans="1:5" x14ac:dyDescent="0.25">
      <c r="A41">
        <v>100</v>
      </c>
      <c r="B41">
        <f>AVERAGE(C41:E41)</f>
        <v>1.3576666666666668</v>
      </c>
      <c r="C41" s="2">
        <v>1.2310000000000001</v>
      </c>
      <c r="D41" s="2">
        <v>1.387</v>
      </c>
      <c r="E41" s="2">
        <v>1.4550000000000001</v>
      </c>
    </row>
    <row r="42" spans="1:5" x14ac:dyDescent="0.25">
      <c r="A42">
        <v>100</v>
      </c>
      <c r="B42">
        <f>AVERAGE(C42:E42)</f>
        <v>1.3259999999999998</v>
      </c>
      <c r="C42" s="2">
        <v>1.373</v>
      </c>
      <c r="D42" s="2">
        <v>1.35</v>
      </c>
      <c r="E42" s="2">
        <v>1.2549999999999999</v>
      </c>
    </row>
    <row r="43" spans="1:5" x14ac:dyDescent="0.25">
      <c r="A43">
        <v>100</v>
      </c>
      <c r="B43">
        <f>AVERAGE(D43:E43)</f>
        <v>1.3109999999999999</v>
      </c>
      <c r="C43" s="2">
        <v>1.381</v>
      </c>
      <c r="D43" s="2">
        <v>1.294</v>
      </c>
      <c r="E43" s="2">
        <v>1.3280000000000001</v>
      </c>
    </row>
    <row r="45" spans="1:5" x14ac:dyDescent="0.25">
      <c r="A45" s="1" t="s">
        <v>9</v>
      </c>
    </row>
    <row r="46" spans="1:5" x14ac:dyDescent="0.25">
      <c r="A46" t="s">
        <v>1</v>
      </c>
      <c r="B46" t="s">
        <v>2</v>
      </c>
      <c r="C46" t="s">
        <v>3</v>
      </c>
      <c r="D46" t="s">
        <v>4</v>
      </c>
      <c r="E46" t="s">
        <v>5</v>
      </c>
    </row>
    <row r="47" spans="1:5" x14ac:dyDescent="0.25">
      <c r="A47">
        <v>0</v>
      </c>
      <c r="B47">
        <f>AVERAGE(C47:E47)</f>
        <v>4.9666666666666665E-2</v>
      </c>
      <c r="C47" s="2">
        <v>4.7E-2</v>
      </c>
      <c r="D47" s="2">
        <v>0.05</v>
      </c>
      <c r="E47" s="2">
        <v>5.1999999999999998E-2</v>
      </c>
    </row>
    <row r="48" spans="1:5" x14ac:dyDescent="0.25">
      <c r="A48">
        <v>5</v>
      </c>
      <c r="B48">
        <f>AVERAGE(C48:E48)</f>
        <v>0.13666666666666669</v>
      </c>
      <c r="C48" s="2">
        <v>0.13600000000000001</v>
      </c>
      <c r="D48" s="2">
        <v>0.13400000000000001</v>
      </c>
      <c r="E48" s="2">
        <v>0.14000000000000001</v>
      </c>
    </row>
    <row r="49" spans="1:5" x14ac:dyDescent="0.25">
      <c r="A49">
        <v>12.5</v>
      </c>
      <c r="B49">
        <f>AVERAGE(C49:E49)</f>
        <v>0.26533333333333331</v>
      </c>
      <c r="C49" s="2">
        <v>0.28199999999999997</v>
      </c>
      <c r="D49" s="2">
        <v>0.27300000000000002</v>
      </c>
      <c r="E49" s="2">
        <v>0.24099999999999999</v>
      </c>
    </row>
    <row r="50" spans="1:5" x14ac:dyDescent="0.25">
      <c r="A50">
        <v>25</v>
      </c>
      <c r="B50">
        <f>AVERAGE(C50:E50)</f>
        <v>0.46599999999999997</v>
      </c>
      <c r="C50" s="2">
        <v>0.47199999999999998</v>
      </c>
      <c r="D50" s="2">
        <v>0.5</v>
      </c>
      <c r="E50" s="2">
        <v>0.42599999999999999</v>
      </c>
    </row>
    <row r="51" spans="1:5" x14ac:dyDescent="0.25">
      <c r="A51">
        <v>50</v>
      </c>
      <c r="B51">
        <f>AVERAGE(C51,E51)</f>
        <v>0.85599999999999998</v>
      </c>
      <c r="C51" s="2">
        <v>0.88100000000000001</v>
      </c>
      <c r="D51" s="2">
        <v>0.83299999999999996</v>
      </c>
      <c r="E51" s="2">
        <v>0.83099999999999996</v>
      </c>
    </row>
    <row r="52" spans="1:5" x14ac:dyDescent="0.25">
      <c r="A52">
        <v>100</v>
      </c>
      <c r="B52">
        <f>AVERAGE(C52:E52)</f>
        <v>1.3816666666666666</v>
      </c>
      <c r="C52" s="2">
        <v>1.4239999999999999</v>
      </c>
      <c r="D52" s="2">
        <v>1.335</v>
      </c>
      <c r="E52" s="2">
        <v>1.3859999999999999</v>
      </c>
    </row>
    <row r="53" spans="1:5" x14ac:dyDescent="0.25">
      <c r="A53">
        <v>100</v>
      </c>
      <c r="B53">
        <f>AVERAGE(C53:E53)</f>
        <v>1.3360000000000001</v>
      </c>
      <c r="C53" s="2">
        <v>1.4019999999999999</v>
      </c>
      <c r="D53" s="2">
        <v>1.3089999999999999</v>
      </c>
      <c r="E53" s="2">
        <v>1.2969999999999999</v>
      </c>
    </row>
    <row r="54" spans="1:5" x14ac:dyDescent="0.25">
      <c r="A54">
        <v>100</v>
      </c>
      <c r="B54">
        <f>AVERAGE(C54:E54)</f>
        <v>1.4139999999999999</v>
      </c>
      <c r="C54" s="2">
        <v>1.56</v>
      </c>
      <c r="D54" s="2">
        <v>1.375</v>
      </c>
      <c r="E54" s="2">
        <v>1.3069999999999999</v>
      </c>
    </row>
    <row r="56" spans="1:5" x14ac:dyDescent="0.25">
      <c r="A56" s="1" t="s">
        <v>10</v>
      </c>
    </row>
    <row r="57" spans="1:5" x14ac:dyDescent="0.25">
      <c r="A57" t="s">
        <v>1</v>
      </c>
      <c r="B57" t="s">
        <v>2</v>
      </c>
      <c r="C57" t="s">
        <v>3</v>
      </c>
      <c r="D57" t="s">
        <v>4</v>
      </c>
      <c r="E57" t="s">
        <v>5</v>
      </c>
    </row>
    <row r="58" spans="1:5" x14ac:dyDescent="0.25">
      <c r="A58">
        <v>0</v>
      </c>
      <c r="B58">
        <f>AVERAGE(C58:E58)</f>
        <v>5.1333333333333335E-2</v>
      </c>
      <c r="C58" s="2">
        <v>5.0999999999999997E-2</v>
      </c>
      <c r="D58" s="2">
        <v>5.2999999999999999E-2</v>
      </c>
      <c r="E58" s="2">
        <v>0.05</v>
      </c>
    </row>
    <row r="59" spans="1:5" x14ac:dyDescent="0.25">
      <c r="A59">
        <v>5</v>
      </c>
      <c r="B59">
        <f>AVERAGE(C59:E59)</f>
        <v>0.13766666666666669</v>
      </c>
      <c r="C59" s="2">
        <v>0.14899999999999999</v>
      </c>
      <c r="D59" s="2">
        <v>0.13100000000000001</v>
      </c>
      <c r="E59" s="2">
        <v>0.13300000000000001</v>
      </c>
    </row>
    <row r="60" spans="1:5" x14ac:dyDescent="0.25">
      <c r="A60">
        <v>12.5</v>
      </c>
      <c r="B60">
        <f>AVERAGE(C60:E60)</f>
        <v>0.28466666666666668</v>
      </c>
      <c r="C60" s="2">
        <v>0.26400000000000001</v>
      </c>
      <c r="D60" s="2">
        <v>0.27300000000000002</v>
      </c>
      <c r="E60" s="2">
        <v>0.317</v>
      </c>
    </row>
    <row r="61" spans="1:5" x14ac:dyDescent="0.25">
      <c r="A61">
        <v>25</v>
      </c>
      <c r="B61">
        <f>AVERAGE(C61:D61)</f>
        <v>0.47599999999999998</v>
      </c>
      <c r="C61" s="2">
        <v>0.48499999999999999</v>
      </c>
      <c r="D61" s="2">
        <v>0.46700000000000003</v>
      </c>
      <c r="E61" s="2">
        <v>0.45300000000000001</v>
      </c>
    </row>
    <row r="62" spans="1:5" x14ac:dyDescent="0.25">
      <c r="A62">
        <v>50</v>
      </c>
      <c r="B62">
        <f>AVERAGE(C62,E62)</f>
        <v>0.86099999999999999</v>
      </c>
      <c r="C62" s="2">
        <v>0.88900000000000001</v>
      </c>
      <c r="D62" s="2">
        <v>0.872</v>
      </c>
      <c r="E62" s="2">
        <v>0.83299999999999996</v>
      </c>
    </row>
    <row r="63" spans="1:5" x14ac:dyDescent="0.25">
      <c r="A63">
        <v>100</v>
      </c>
      <c r="B63">
        <f>AVERAGE(C63,E63)</f>
        <v>1.4079999999999999</v>
      </c>
      <c r="C63" s="2">
        <v>1.5209999999999999</v>
      </c>
      <c r="D63" s="2">
        <v>1.3620000000000001</v>
      </c>
      <c r="E63" s="2">
        <v>1.2949999999999999</v>
      </c>
    </row>
    <row r="64" spans="1:5" x14ac:dyDescent="0.25">
      <c r="A64">
        <v>100</v>
      </c>
      <c r="B64">
        <f>AVERAGE(C64:E64)</f>
        <v>1.099</v>
      </c>
      <c r="C64" s="2">
        <v>0.91</v>
      </c>
      <c r="D64" s="2">
        <v>1.19</v>
      </c>
      <c r="E64" s="2">
        <v>1.1970000000000001</v>
      </c>
    </row>
    <row r="65" spans="1:5" x14ac:dyDescent="0.25">
      <c r="A65">
        <v>100</v>
      </c>
      <c r="B65">
        <f>AVERAGE(C65:E65)</f>
        <v>1.1663333333333332</v>
      </c>
      <c r="C65" s="2">
        <v>0.88700000000000001</v>
      </c>
      <c r="D65" s="2">
        <v>1.333</v>
      </c>
      <c r="E65" s="2">
        <v>1.2789999999999999</v>
      </c>
    </row>
    <row r="68" spans="1:5" x14ac:dyDescent="0.25">
      <c r="A68" s="1" t="s">
        <v>11</v>
      </c>
    </row>
    <row r="69" spans="1:5" x14ac:dyDescent="0.25">
      <c r="A69" t="s">
        <v>1</v>
      </c>
      <c r="B69" t="s">
        <v>2</v>
      </c>
      <c r="C69" t="s">
        <v>3</v>
      </c>
      <c r="D69" t="s">
        <v>4</v>
      </c>
      <c r="E69" t="s">
        <v>5</v>
      </c>
    </row>
    <row r="70" spans="1:5" x14ac:dyDescent="0.25">
      <c r="A70">
        <v>0</v>
      </c>
      <c r="B70">
        <f>AVERAGE(C70:E70)</f>
        <v>5.1333333333333335E-2</v>
      </c>
      <c r="C70" s="2">
        <v>5.0999999999999997E-2</v>
      </c>
      <c r="D70" s="2">
        <v>5.3999999999999999E-2</v>
      </c>
      <c r="E70" s="2">
        <v>4.9000000000000002E-2</v>
      </c>
    </row>
    <row r="71" spans="1:5" x14ac:dyDescent="0.25">
      <c r="A71">
        <v>5</v>
      </c>
      <c r="B71">
        <f>AVERAGE(C71:E71)</f>
        <v>0.127</v>
      </c>
      <c r="C71" s="2">
        <v>0.122</v>
      </c>
      <c r="D71" s="2">
        <v>0.127</v>
      </c>
      <c r="E71" s="2">
        <v>0.13200000000000001</v>
      </c>
    </row>
    <row r="72" spans="1:5" x14ac:dyDescent="0.25">
      <c r="A72">
        <v>12.5</v>
      </c>
      <c r="B72">
        <f>AVERAGE(C72:E72)</f>
        <v>0.30933333333333335</v>
      </c>
      <c r="C72" s="2">
        <v>0.307</v>
      </c>
      <c r="D72" s="2">
        <v>0.27700000000000002</v>
      </c>
      <c r="E72" s="2">
        <v>0.34399999999999997</v>
      </c>
    </row>
    <row r="73" spans="1:5" x14ac:dyDescent="0.25">
      <c r="A73">
        <v>25</v>
      </c>
      <c r="B73">
        <f>AVERAGE(D73:E73)</f>
        <v>0.50150000000000006</v>
      </c>
      <c r="C73" s="2">
        <v>0.497</v>
      </c>
      <c r="D73" s="2">
        <v>0.50800000000000001</v>
      </c>
      <c r="E73" s="2">
        <v>0.495</v>
      </c>
    </row>
    <row r="74" spans="1:5" x14ac:dyDescent="0.25">
      <c r="A74">
        <v>50</v>
      </c>
      <c r="B74">
        <f>AVERAGE(D74:E74)</f>
        <v>0.86499999999999999</v>
      </c>
      <c r="C74" s="2">
        <v>0.80600000000000005</v>
      </c>
      <c r="D74" s="2">
        <v>0.91900000000000004</v>
      </c>
      <c r="E74" s="2">
        <v>0.81100000000000005</v>
      </c>
    </row>
    <row r="75" spans="1:5" x14ac:dyDescent="0.25">
      <c r="A75">
        <v>100</v>
      </c>
      <c r="B75">
        <f>AVERAGE(C75:D75)</f>
        <v>1.405</v>
      </c>
      <c r="C75" s="2">
        <v>1.32</v>
      </c>
      <c r="D75" s="2">
        <v>1.49</v>
      </c>
      <c r="E75" s="2">
        <v>1.31</v>
      </c>
    </row>
    <row r="76" spans="1:5" x14ac:dyDescent="0.25">
      <c r="A76">
        <v>100</v>
      </c>
      <c r="B76" t="e">
        <f>AVERAGE(C76:E76)</f>
        <v>#DIV/0!</v>
      </c>
      <c r="C76" s="2"/>
      <c r="D76" s="2"/>
      <c r="E76" s="2"/>
    </row>
    <row r="77" spans="1:5" x14ac:dyDescent="0.25">
      <c r="A77">
        <v>100</v>
      </c>
      <c r="B77" t="e">
        <f>AVERAGE(C77:E77)</f>
        <v>#DIV/0!</v>
      </c>
      <c r="C77" s="2"/>
      <c r="D77" s="2"/>
      <c r="E77" s="2"/>
    </row>
    <row r="79" spans="1:5" x14ac:dyDescent="0.25">
      <c r="A79" s="1" t="s">
        <v>94</v>
      </c>
    </row>
    <row r="80" spans="1:5" x14ac:dyDescent="0.25">
      <c r="A80" t="s">
        <v>1</v>
      </c>
      <c r="B80" t="s">
        <v>2</v>
      </c>
      <c r="C80" t="s">
        <v>3</v>
      </c>
      <c r="D80" t="s">
        <v>4</v>
      </c>
      <c r="E80" t="s">
        <v>5</v>
      </c>
    </row>
    <row r="81" spans="1:5" x14ac:dyDescent="0.25">
      <c r="A81">
        <v>0</v>
      </c>
      <c r="B81">
        <f>AVERAGE(C81:E81)</f>
        <v>5.1000000000000011E-2</v>
      </c>
      <c r="C81" s="2">
        <v>4.9000000000000002E-2</v>
      </c>
      <c r="D81" s="2">
        <v>5.3999999999999999E-2</v>
      </c>
      <c r="E81" s="2">
        <v>0.05</v>
      </c>
    </row>
    <row r="82" spans="1:5" x14ac:dyDescent="0.25">
      <c r="A82">
        <v>5</v>
      </c>
      <c r="B82">
        <f>AVERAGE(C82:E82)</f>
        <v>0.13933333333333334</v>
      </c>
      <c r="C82" s="2">
        <v>0.13900000000000001</v>
      </c>
      <c r="D82" s="2">
        <v>0.15</v>
      </c>
      <c r="E82" s="2">
        <v>0.129</v>
      </c>
    </row>
    <row r="83" spans="1:5" x14ac:dyDescent="0.25">
      <c r="A83">
        <v>12.5</v>
      </c>
      <c r="B83">
        <f>AVERAGE(C83:E83)</f>
        <v>0.29633333333333334</v>
      </c>
      <c r="C83" s="2">
        <v>0.26400000000000001</v>
      </c>
      <c r="D83" s="2">
        <v>0.28799999999999998</v>
      </c>
      <c r="E83" s="2">
        <v>0.33700000000000002</v>
      </c>
    </row>
    <row r="84" spans="1:5" x14ac:dyDescent="0.25">
      <c r="A84">
        <v>25</v>
      </c>
      <c r="B84">
        <f>AVERAGE(D84:E84)</f>
        <v>0.49299999999999999</v>
      </c>
      <c r="C84" s="2">
        <v>0.45600000000000002</v>
      </c>
      <c r="D84" s="2">
        <v>0.45700000000000002</v>
      </c>
      <c r="E84" s="2">
        <v>0.52900000000000003</v>
      </c>
    </row>
    <row r="85" spans="1:5" x14ac:dyDescent="0.25">
      <c r="A85">
        <v>50</v>
      </c>
      <c r="B85">
        <f>AVERAGE(C85:E85)</f>
        <v>0.85033333333333339</v>
      </c>
      <c r="C85" s="2">
        <v>0.79200000000000004</v>
      </c>
      <c r="D85" s="2">
        <v>0.85099999999999998</v>
      </c>
      <c r="E85" s="2">
        <v>0.90800000000000003</v>
      </c>
    </row>
    <row r="86" spans="1:5" x14ac:dyDescent="0.25">
      <c r="A86">
        <v>100</v>
      </c>
      <c r="B86">
        <f>AVERAGE(C86:D86)</f>
        <v>1.33</v>
      </c>
      <c r="C86" s="2">
        <v>1.351</v>
      </c>
      <c r="D86" s="2">
        <v>1.3089999999999999</v>
      </c>
      <c r="E86" s="2">
        <v>1.1879999999999999</v>
      </c>
    </row>
    <row r="87" spans="1:5" x14ac:dyDescent="0.25">
      <c r="A87">
        <v>100</v>
      </c>
      <c r="B87" t="e">
        <f>AVERAGE(C87:E87)</f>
        <v>#DIV/0!</v>
      </c>
      <c r="C87" s="2"/>
      <c r="D87" s="2"/>
      <c r="E87" s="2"/>
    </row>
    <row r="88" spans="1:5" x14ac:dyDescent="0.25">
      <c r="A88">
        <v>100</v>
      </c>
      <c r="B88" t="e">
        <f>AVERAGE(C88:E88)</f>
        <v>#DIV/0!</v>
      </c>
      <c r="C88" s="2"/>
      <c r="D88" s="2"/>
      <c r="E88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33000-73AF-42C4-B1DB-E3F91ABA1F3C}">
  <dimension ref="A1:N29"/>
  <sheetViews>
    <sheetView workbookViewId="0">
      <selection sqref="A1:XFD1048576"/>
    </sheetView>
  </sheetViews>
  <sheetFormatPr defaultRowHeight="15" x14ac:dyDescent="0.25"/>
  <cols>
    <col min="1" max="1" width="10.7109375" customWidth="1"/>
  </cols>
  <sheetData>
    <row r="1" spans="1:14" x14ac:dyDescent="0.25">
      <c r="A1" s="3" t="s">
        <v>3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12</v>
      </c>
      <c r="B2" s="2">
        <v>0.05</v>
      </c>
      <c r="C2" s="2">
        <v>0.05</v>
      </c>
      <c r="D2" s="2">
        <v>5.1999999999999998E-2</v>
      </c>
      <c r="E2" s="2">
        <v>5.8000000000000003E-2</v>
      </c>
      <c r="F2" s="2">
        <v>4.7E-2</v>
      </c>
      <c r="G2" s="2">
        <v>5.5E-2</v>
      </c>
      <c r="H2" s="2">
        <v>0.13700000000000001</v>
      </c>
      <c r="I2" s="2">
        <v>0.13900000000000001</v>
      </c>
      <c r="J2" s="2">
        <v>0.13900000000000001</v>
      </c>
      <c r="K2" s="2">
        <v>0.24299999999999999</v>
      </c>
      <c r="L2" s="2">
        <v>0.247</v>
      </c>
      <c r="M2" s="2">
        <v>0.22900000000000001</v>
      </c>
      <c r="N2" s="5">
        <v>670</v>
      </c>
    </row>
    <row r="3" spans="1:14" x14ac:dyDescent="0.25">
      <c r="A3" s="4" t="s">
        <v>13</v>
      </c>
      <c r="B3" s="2">
        <v>0.158</v>
      </c>
      <c r="C3" s="2">
        <v>0.11899999999999999</v>
      </c>
      <c r="D3" s="2">
        <v>0.13</v>
      </c>
      <c r="E3" s="2">
        <v>5.5E-2</v>
      </c>
      <c r="F3" s="2">
        <v>5.2999999999999999E-2</v>
      </c>
      <c r="G3" s="2">
        <v>5.3999999999999999E-2</v>
      </c>
      <c r="H3" s="2">
        <v>5.8999999999999997E-2</v>
      </c>
      <c r="I3" s="2">
        <v>5.5E-2</v>
      </c>
      <c r="J3" s="2">
        <v>5.6000000000000001E-2</v>
      </c>
      <c r="K3" s="2">
        <v>0.107</v>
      </c>
      <c r="L3" s="2">
        <v>0.111</v>
      </c>
      <c r="M3" s="2">
        <v>0.11600000000000001</v>
      </c>
      <c r="N3" s="5">
        <v>670</v>
      </c>
    </row>
    <row r="4" spans="1:14" x14ac:dyDescent="0.25">
      <c r="A4" s="4" t="s">
        <v>14</v>
      </c>
      <c r="B4" s="2">
        <v>0.24</v>
      </c>
      <c r="C4" s="2">
        <v>0.23899999999999999</v>
      </c>
      <c r="D4" s="2">
        <v>0.24399999999999999</v>
      </c>
      <c r="E4" s="2">
        <v>5.5E-2</v>
      </c>
      <c r="F4" s="2">
        <v>5.2999999999999999E-2</v>
      </c>
      <c r="G4" s="2">
        <v>5.5E-2</v>
      </c>
      <c r="H4" s="2">
        <v>8.5999999999999993E-2</v>
      </c>
      <c r="I4" s="2">
        <v>8.5999999999999993E-2</v>
      </c>
      <c r="J4" s="2">
        <v>8.5000000000000006E-2</v>
      </c>
      <c r="K4" s="2">
        <v>0.67</v>
      </c>
      <c r="L4" s="2">
        <v>0.56899999999999995</v>
      </c>
      <c r="M4" s="2">
        <v>0.58199999999999996</v>
      </c>
      <c r="N4" s="5">
        <v>670</v>
      </c>
    </row>
    <row r="5" spans="1:14" x14ac:dyDescent="0.25">
      <c r="A5" s="4" t="s">
        <v>15</v>
      </c>
      <c r="B5" s="2">
        <v>0.42399999999999999</v>
      </c>
      <c r="C5" s="2">
        <v>0.436</v>
      </c>
      <c r="D5" s="2">
        <v>0.41199999999999998</v>
      </c>
      <c r="E5" s="2">
        <v>5.6000000000000001E-2</v>
      </c>
      <c r="F5" s="2">
        <v>5.5E-2</v>
      </c>
      <c r="G5" s="2">
        <v>5.5E-2</v>
      </c>
      <c r="H5" s="2">
        <v>0.35399999999999998</v>
      </c>
      <c r="I5" s="2">
        <v>0.34</v>
      </c>
      <c r="J5" s="2">
        <v>0.35299999999999998</v>
      </c>
      <c r="K5" s="2">
        <v>0.78200000000000003</v>
      </c>
      <c r="L5" s="2">
        <v>0.57099999999999995</v>
      </c>
      <c r="M5" s="2">
        <v>0.71499999999999997</v>
      </c>
      <c r="N5" s="5">
        <v>670</v>
      </c>
    </row>
    <row r="6" spans="1:14" x14ac:dyDescent="0.25">
      <c r="A6" s="4" t="s">
        <v>16</v>
      </c>
      <c r="B6" s="2">
        <v>0.77700000000000002</v>
      </c>
      <c r="C6" s="2">
        <v>0.71299999999999997</v>
      </c>
      <c r="D6" s="2">
        <v>0.74299999999999999</v>
      </c>
      <c r="E6" s="2">
        <v>5.1999999999999998E-2</v>
      </c>
      <c r="F6" s="2">
        <v>5.2999999999999999E-2</v>
      </c>
      <c r="G6" s="2">
        <v>5.3999999999999999E-2</v>
      </c>
      <c r="H6" s="2">
        <v>0.06</v>
      </c>
      <c r="I6" s="2">
        <v>5.5E-2</v>
      </c>
      <c r="J6" s="2">
        <v>6.0999999999999999E-2</v>
      </c>
      <c r="K6" s="2">
        <v>0.114</v>
      </c>
      <c r="L6" s="2">
        <v>0.105</v>
      </c>
      <c r="M6" s="2">
        <v>0.10199999999999999</v>
      </c>
      <c r="N6" s="5">
        <v>670</v>
      </c>
    </row>
    <row r="7" spans="1:14" x14ac:dyDescent="0.25">
      <c r="A7" s="4" t="s">
        <v>17</v>
      </c>
      <c r="B7" s="2">
        <v>1.2689999999999999</v>
      </c>
      <c r="C7" s="2">
        <v>1.1950000000000001</v>
      </c>
      <c r="D7" s="2">
        <v>1.23</v>
      </c>
      <c r="E7" s="2">
        <v>5.6000000000000001E-2</v>
      </c>
      <c r="F7" s="2">
        <v>5.0999999999999997E-2</v>
      </c>
      <c r="G7" s="2">
        <v>5.2999999999999999E-2</v>
      </c>
      <c r="H7" s="2">
        <v>6.2E-2</v>
      </c>
      <c r="I7" s="2">
        <v>5.8999999999999997E-2</v>
      </c>
      <c r="J7" s="2">
        <v>5.6000000000000001E-2</v>
      </c>
      <c r="K7" s="2">
        <v>1.587</v>
      </c>
      <c r="L7" s="2">
        <v>1.5009999999999999</v>
      </c>
      <c r="M7" s="2">
        <v>1.5189999999999999</v>
      </c>
      <c r="N7" s="5">
        <v>670</v>
      </c>
    </row>
    <row r="8" spans="1:14" x14ac:dyDescent="0.25">
      <c r="A8" s="4" t="s">
        <v>18</v>
      </c>
      <c r="B8" s="2">
        <v>0.72399999999999998</v>
      </c>
      <c r="C8" s="2">
        <v>1.075</v>
      </c>
      <c r="D8" s="2">
        <v>0.98699999999999999</v>
      </c>
      <c r="E8" s="2">
        <v>8.4000000000000005E-2</v>
      </c>
      <c r="F8" s="2">
        <v>8.3000000000000004E-2</v>
      </c>
      <c r="G8" s="2">
        <v>8.5000000000000006E-2</v>
      </c>
      <c r="H8" s="2">
        <v>6.2E-2</v>
      </c>
      <c r="I8" s="2">
        <v>0.06</v>
      </c>
      <c r="J8" s="2">
        <v>0.06</v>
      </c>
      <c r="K8" s="2">
        <v>1.262</v>
      </c>
      <c r="L8" s="2">
        <v>1.3029999999999999</v>
      </c>
      <c r="M8" s="2">
        <v>1.125</v>
      </c>
      <c r="N8" s="5">
        <v>670</v>
      </c>
    </row>
    <row r="9" spans="1:14" x14ac:dyDescent="0.25">
      <c r="A9" s="4" t="s">
        <v>19</v>
      </c>
      <c r="B9" s="2">
        <v>1.2949999999999999</v>
      </c>
      <c r="C9" s="2">
        <v>1.276</v>
      </c>
      <c r="D9" s="2">
        <v>1.33</v>
      </c>
      <c r="E9" s="2">
        <v>8.8999999999999996E-2</v>
      </c>
      <c r="F9" s="2">
        <v>8.5999999999999993E-2</v>
      </c>
      <c r="G9" s="2">
        <v>9.0999999999999998E-2</v>
      </c>
      <c r="H9" s="2">
        <v>0.23</v>
      </c>
      <c r="I9" s="2">
        <v>0.23400000000000001</v>
      </c>
      <c r="J9" s="2">
        <v>0.26</v>
      </c>
      <c r="K9" s="2">
        <v>1.5660000000000001</v>
      </c>
      <c r="L9" s="2">
        <v>1.8859999999999999</v>
      </c>
      <c r="M9" s="2">
        <v>1.67</v>
      </c>
      <c r="N9" s="5">
        <v>670</v>
      </c>
    </row>
    <row r="11" spans="1:14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12</v>
      </c>
      <c r="B12" s="6" t="s">
        <v>21</v>
      </c>
      <c r="C12" s="6" t="s">
        <v>21</v>
      </c>
      <c r="D12" s="6" t="s">
        <v>21</v>
      </c>
      <c r="E12" s="6" t="s">
        <v>131</v>
      </c>
      <c r="F12" s="6" t="s">
        <v>131</v>
      </c>
      <c r="G12" s="6" t="s">
        <v>131</v>
      </c>
      <c r="H12" s="6" t="s">
        <v>139</v>
      </c>
      <c r="I12" s="6" t="s">
        <v>139</v>
      </c>
      <c r="J12" s="6" t="s">
        <v>139</v>
      </c>
      <c r="K12" s="6" t="s">
        <v>147</v>
      </c>
      <c r="L12" s="6" t="s">
        <v>147</v>
      </c>
      <c r="M12" s="6" t="s">
        <v>147</v>
      </c>
    </row>
    <row r="13" spans="1:14" x14ac:dyDescent="0.25">
      <c r="A13" s="4" t="s">
        <v>13</v>
      </c>
      <c r="B13" s="6" t="s">
        <v>23</v>
      </c>
      <c r="C13" s="6" t="s">
        <v>23</v>
      </c>
      <c r="D13" s="6" t="s">
        <v>23</v>
      </c>
      <c r="E13" s="6" t="s">
        <v>133</v>
      </c>
      <c r="F13" s="6" t="s">
        <v>133</v>
      </c>
      <c r="G13" s="6" t="s">
        <v>133</v>
      </c>
      <c r="H13" s="6" t="s">
        <v>141</v>
      </c>
      <c r="I13" s="6" t="s">
        <v>141</v>
      </c>
      <c r="J13" s="6" t="s">
        <v>141</v>
      </c>
      <c r="K13" s="6" t="s">
        <v>148</v>
      </c>
      <c r="L13" s="6" t="s">
        <v>148</v>
      </c>
      <c r="M13" s="6" t="s">
        <v>148</v>
      </c>
    </row>
    <row r="14" spans="1:14" x14ac:dyDescent="0.25">
      <c r="A14" s="4" t="s">
        <v>14</v>
      </c>
      <c r="B14" s="6" t="s">
        <v>25</v>
      </c>
      <c r="C14" s="6" t="s">
        <v>25</v>
      </c>
      <c r="D14" s="6" t="s">
        <v>25</v>
      </c>
      <c r="E14" s="6" t="s">
        <v>134</v>
      </c>
      <c r="F14" s="6" t="s">
        <v>134</v>
      </c>
      <c r="G14" s="6" t="s">
        <v>134</v>
      </c>
      <c r="H14" s="6" t="s">
        <v>140</v>
      </c>
      <c r="I14" s="6" t="s">
        <v>140</v>
      </c>
      <c r="J14" s="6" t="s">
        <v>140</v>
      </c>
      <c r="K14" s="6" t="s">
        <v>149</v>
      </c>
      <c r="L14" s="6" t="s">
        <v>149</v>
      </c>
      <c r="M14" s="6" t="s">
        <v>149</v>
      </c>
    </row>
    <row r="15" spans="1:14" x14ac:dyDescent="0.25">
      <c r="A15" s="4" t="s">
        <v>15</v>
      </c>
      <c r="B15" s="6" t="s">
        <v>27</v>
      </c>
      <c r="C15" s="6" t="s">
        <v>27</v>
      </c>
      <c r="D15" s="6" t="s">
        <v>27</v>
      </c>
      <c r="E15" s="6" t="s">
        <v>135</v>
      </c>
      <c r="F15" s="6" t="s">
        <v>135</v>
      </c>
      <c r="G15" s="6" t="s">
        <v>135</v>
      </c>
      <c r="H15" s="6" t="s">
        <v>142</v>
      </c>
      <c r="I15" s="6" t="s">
        <v>142</v>
      </c>
      <c r="J15" s="6" t="s">
        <v>142</v>
      </c>
      <c r="K15" s="6" t="s">
        <v>150</v>
      </c>
      <c r="L15" s="6" t="s">
        <v>150</v>
      </c>
      <c r="M15" s="6" t="s">
        <v>150</v>
      </c>
    </row>
    <row r="16" spans="1:14" x14ac:dyDescent="0.25">
      <c r="A16" s="4" t="s">
        <v>16</v>
      </c>
      <c r="B16" s="6" t="s">
        <v>30</v>
      </c>
      <c r="C16" s="6" t="s">
        <v>30</v>
      </c>
      <c r="D16" s="6" t="s">
        <v>30</v>
      </c>
      <c r="E16" s="6" t="s">
        <v>136</v>
      </c>
      <c r="F16" s="6" t="s">
        <v>136</v>
      </c>
      <c r="G16" s="6" t="s">
        <v>136</v>
      </c>
      <c r="H16" s="6" t="s">
        <v>143</v>
      </c>
      <c r="I16" s="6" t="s">
        <v>143</v>
      </c>
      <c r="J16" s="6" t="s">
        <v>143</v>
      </c>
      <c r="K16" s="6" t="s">
        <v>151</v>
      </c>
      <c r="L16" s="6" t="s">
        <v>151</v>
      </c>
      <c r="M16" s="6" t="s">
        <v>151</v>
      </c>
    </row>
    <row r="17" spans="1:13" x14ac:dyDescent="0.25">
      <c r="A17" s="4" t="s">
        <v>17</v>
      </c>
      <c r="B17" s="6" t="s">
        <v>33</v>
      </c>
      <c r="C17" s="6" t="s">
        <v>33</v>
      </c>
      <c r="D17" s="6" t="s">
        <v>33</v>
      </c>
      <c r="E17" s="6" t="s">
        <v>132</v>
      </c>
      <c r="F17" s="6" t="s">
        <v>132</v>
      </c>
      <c r="G17" s="6" t="s">
        <v>132</v>
      </c>
      <c r="H17" s="6" t="s">
        <v>144</v>
      </c>
      <c r="I17" s="6" t="s">
        <v>144</v>
      </c>
      <c r="J17" s="6" t="s">
        <v>144</v>
      </c>
      <c r="K17" s="6" t="s">
        <v>152</v>
      </c>
      <c r="L17" s="6" t="s">
        <v>152</v>
      </c>
      <c r="M17" s="6" t="s">
        <v>152</v>
      </c>
    </row>
    <row r="18" spans="1:13" x14ac:dyDescent="0.25">
      <c r="A18" s="4" t="s">
        <v>18</v>
      </c>
      <c r="B18" s="6" t="s">
        <v>35</v>
      </c>
      <c r="C18" s="6" t="s">
        <v>35</v>
      </c>
      <c r="D18" s="6" t="s">
        <v>35</v>
      </c>
      <c r="E18" s="6" t="s">
        <v>137</v>
      </c>
      <c r="F18" s="6" t="s">
        <v>137</v>
      </c>
      <c r="G18" s="6" t="s">
        <v>137</v>
      </c>
      <c r="H18" s="6" t="s">
        <v>145</v>
      </c>
      <c r="I18" s="6" t="s">
        <v>145</v>
      </c>
      <c r="J18" s="6" t="s">
        <v>145</v>
      </c>
      <c r="K18" s="6" t="s">
        <v>153</v>
      </c>
      <c r="L18" s="6" t="s">
        <v>153</v>
      </c>
      <c r="M18" s="6" t="s">
        <v>153</v>
      </c>
    </row>
    <row r="19" spans="1:13" x14ac:dyDescent="0.25">
      <c r="A19" s="4" t="s">
        <v>19</v>
      </c>
      <c r="B19" s="6" t="s">
        <v>36</v>
      </c>
      <c r="C19" s="6" t="s">
        <v>36</v>
      </c>
      <c r="D19" s="6" t="s">
        <v>36</v>
      </c>
      <c r="E19" s="6" t="s">
        <v>138</v>
      </c>
      <c r="F19" s="6" t="s">
        <v>138</v>
      </c>
      <c r="G19" s="6" t="s">
        <v>138</v>
      </c>
      <c r="H19" s="6" t="s">
        <v>146</v>
      </c>
      <c r="I19" s="6" t="s">
        <v>146</v>
      </c>
      <c r="J19" s="6" t="s">
        <v>146</v>
      </c>
      <c r="K19" s="6" t="s">
        <v>154</v>
      </c>
      <c r="L19" s="6" t="s">
        <v>154</v>
      </c>
      <c r="M19" s="6" t="s">
        <v>154</v>
      </c>
    </row>
    <row r="21" spans="1:13" ht="30" x14ac:dyDescent="0.25">
      <c r="A21" s="3" t="s">
        <v>38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25</v>
      </c>
      <c r="L24" s="2">
        <v>25</v>
      </c>
      <c r="M24" s="2">
        <v>25</v>
      </c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25</v>
      </c>
      <c r="L25" s="2">
        <v>25</v>
      </c>
      <c r="M25" s="2">
        <v>25</v>
      </c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25</v>
      </c>
      <c r="L27" s="2">
        <v>25</v>
      </c>
      <c r="M27" s="2">
        <v>25</v>
      </c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25</v>
      </c>
      <c r="L28" s="2">
        <v>25</v>
      </c>
      <c r="M28" s="2">
        <v>25</v>
      </c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25</v>
      </c>
      <c r="L29" s="2">
        <v>25</v>
      </c>
      <c r="M29" s="2">
        <v>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9D808-F445-4664-912F-1066DA1216D3}">
  <dimension ref="A1:N29"/>
  <sheetViews>
    <sheetView workbookViewId="0">
      <selection sqref="A1:XFD1048576"/>
    </sheetView>
  </sheetViews>
  <sheetFormatPr defaultRowHeight="15" x14ac:dyDescent="0.25"/>
  <sheetData>
    <row r="1" spans="1:14" x14ac:dyDescent="0.25">
      <c r="A1" s="3" t="s">
        <v>3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12</v>
      </c>
      <c r="B2" s="2">
        <v>0.05</v>
      </c>
      <c r="C2" s="2">
        <v>4.9000000000000002E-2</v>
      </c>
      <c r="D2" s="2">
        <v>4.9000000000000002E-2</v>
      </c>
      <c r="E2" s="2">
        <v>1.3</v>
      </c>
      <c r="F2" s="2">
        <v>1.202</v>
      </c>
      <c r="G2" s="2">
        <v>1.2789999999999999</v>
      </c>
      <c r="H2" s="2">
        <v>6.0999999999999999E-2</v>
      </c>
      <c r="I2" s="2">
        <v>6.2E-2</v>
      </c>
      <c r="J2" s="2">
        <v>6.2E-2</v>
      </c>
      <c r="K2" s="2">
        <v>5.2999999999999999E-2</v>
      </c>
      <c r="L2" s="2">
        <v>5.3999999999999999E-2</v>
      </c>
      <c r="M2" s="2">
        <v>5.2999999999999999E-2</v>
      </c>
      <c r="N2" s="5">
        <v>670</v>
      </c>
    </row>
    <row r="3" spans="1:14" x14ac:dyDescent="0.25">
      <c r="A3" s="4" t="s">
        <v>13</v>
      </c>
      <c r="B3" s="2">
        <v>0.17699999999999999</v>
      </c>
      <c r="C3" s="2">
        <v>0.14299999999999999</v>
      </c>
      <c r="D3" s="2">
        <v>0.11799999999999999</v>
      </c>
      <c r="E3" s="2">
        <v>0.12</v>
      </c>
      <c r="F3" s="2">
        <v>0.112</v>
      </c>
      <c r="G3" s="2">
        <v>0.11799999999999999</v>
      </c>
      <c r="H3" s="2">
        <v>5.1999999999999998E-2</v>
      </c>
      <c r="I3" s="2">
        <v>0.05</v>
      </c>
      <c r="J3" s="2">
        <v>0.05</v>
      </c>
      <c r="K3" s="2">
        <v>1.88</v>
      </c>
      <c r="L3" s="2">
        <v>1.679</v>
      </c>
      <c r="M3" s="2">
        <v>1.5820000000000001</v>
      </c>
      <c r="N3" s="5">
        <v>670</v>
      </c>
    </row>
    <row r="4" spans="1:14" x14ac:dyDescent="0.25">
      <c r="A4" s="4" t="s">
        <v>14</v>
      </c>
      <c r="B4" s="2">
        <v>0.26200000000000001</v>
      </c>
      <c r="C4" s="2">
        <v>0.215</v>
      </c>
      <c r="D4" s="2">
        <v>0.28499999999999998</v>
      </c>
      <c r="E4" s="2">
        <v>5.5E-2</v>
      </c>
      <c r="F4" s="2">
        <v>5.8999999999999997E-2</v>
      </c>
      <c r="G4" s="2">
        <v>5.0999999999999997E-2</v>
      </c>
      <c r="H4" s="2">
        <v>5.5E-2</v>
      </c>
      <c r="I4" s="2">
        <v>5.2999999999999999E-2</v>
      </c>
      <c r="J4" s="2">
        <v>5.5E-2</v>
      </c>
      <c r="K4" s="2">
        <v>1.645</v>
      </c>
      <c r="L4" s="2">
        <v>1.6479999999999999</v>
      </c>
      <c r="M4" s="2">
        <v>1.5149999999999999</v>
      </c>
      <c r="N4" s="5">
        <v>670</v>
      </c>
    </row>
    <row r="5" spans="1:14" x14ac:dyDescent="0.25">
      <c r="A5" s="4" t="s">
        <v>15</v>
      </c>
      <c r="B5" s="2">
        <v>0.39300000000000002</v>
      </c>
      <c r="C5" s="2">
        <v>0.54300000000000004</v>
      </c>
      <c r="D5" s="2">
        <v>0.49299999999999999</v>
      </c>
      <c r="E5" s="2">
        <v>5.6000000000000001E-2</v>
      </c>
      <c r="F5" s="2">
        <v>5.3999999999999999E-2</v>
      </c>
      <c r="G5" s="2">
        <v>5.2999999999999999E-2</v>
      </c>
      <c r="H5" s="2">
        <v>5.8000000000000003E-2</v>
      </c>
      <c r="I5" s="2">
        <v>5.6000000000000001E-2</v>
      </c>
      <c r="J5" s="2">
        <v>5.6000000000000001E-2</v>
      </c>
      <c r="K5" s="2">
        <v>1.758</v>
      </c>
      <c r="L5" s="2">
        <v>1.796</v>
      </c>
      <c r="M5" s="2">
        <v>1.712</v>
      </c>
      <c r="N5" s="5">
        <v>670</v>
      </c>
    </row>
    <row r="6" spans="1:14" x14ac:dyDescent="0.25">
      <c r="A6" s="4" t="s">
        <v>16</v>
      </c>
      <c r="B6" s="2">
        <v>0.83499999999999996</v>
      </c>
      <c r="C6" s="2">
        <v>0.873</v>
      </c>
      <c r="D6" s="2">
        <v>0.91700000000000004</v>
      </c>
      <c r="E6" s="2">
        <v>5.7000000000000002E-2</v>
      </c>
      <c r="F6" s="2">
        <v>5.2999999999999999E-2</v>
      </c>
      <c r="G6" s="2">
        <v>4.9000000000000002E-2</v>
      </c>
      <c r="H6" s="2">
        <v>5.3999999999999999E-2</v>
      </c>
      <c r="I6" s="2">
        <v>5.5E-2</v>
      </c>
      <c r="J6" s="2">
        <v>5.1999999999999998E-2</v>
      </c>
      <c r="K6" s="2">
        <v>2.2469999999999999</v>
      </c>
      <c r="L6" s="2">
        <v>2.1880000000000002</v>
      </c>
      <c r="M6" s="2">
        <v>2.052</v>
      </c>
      <c r="N6" s="5">
        <v>670</v>
      </c>
    </row>
    <row r="7" spans="1:14" x14ac:dyDescent="0.25">
      <c r="A7" s="4" t="s">
        <v>17</v>
      </c>
      <c r="B7" s="2">
        <v>1.236</v>
      </c>
      <c r="C7" s="2">
        <v>1.278</v>
      </c>
      <c r="D7" s="2">
        <v>1.2350000000000001</v>
      </c>
      <c r="E7" s="2">
        <v>5.7000000000000002E-2</v>
      </c>
      <c r="F7" s="2">
        <v>5.6000000000000001E-2</v>
      </c>
      <c r="G7" s="2">
        <v>5.1999999999999998E-2</v>
      </c>
      <c r="H7" s="2">
        <v>5.0999999999999997E-2</v>
      </c>
      <c r="I7" s="2">
        <v>5.6000000000000001E-2</v>
      </c>
      <c r="J7" s="2">
        <v>5.0999999999999997E-2</v>
      </c>
      <c r="K7" s="2">
        <v>1.9850000000000001</v>
      </c>
      <c r="L7" s="2">
        <v>1.847</v>
      </c>
      <c r="M7" s="2">
        <v>1.804</v>
      </c>
      <c r="N7" s="5">
        <v>670</v>
      </c>
    </row>
    <row r="8" spans="1:14" x14ac:dyDescent="0.25">
      <c r="A8" s="4" t="s">
        <v>18</v>
      </c>
      <c r="B8" s="2">
        <v>1.224</v>
      </c>
      <c r="C8" s="2">
        <v>1.306</v>
      </c>
      <c r="D8" s="2">
        <v>1.29</v>
      </c>
      <c r="E8" s="2">
        <v>5.7000000000000002E-2</v>
      </c>
      <c r="F8" s="2">
        <v>5.0999999999999997E-2</v>
      </c>
      <c r="G8" s="2">
        <v>0.05</v>
      </c>
      <c r="H8" s="2">
        <v>6.2E-2</v>
      </c>
      <c r="I8" s="2">
        <v>6.3E-2</v>
      </c>
      <c r="J8" s="2">
        <v>6.2E-2</v>
      </c>
      <c r="K8" s="2">
        <v>1.819</v>
      </c>
      <c r="L8" s="2">
        <v>1.635</v>
      </c>
      <c r="M8" s="2">
        <v>1.5580000000000001</v>
      </c>
      <c r="N8" s="5">
        <v>670</v>
      </c>
    </row>
    <row r="9" spans="1:14" x14ac:dyDescent="0.25">
      <c r="A9" s="4" t="s">
        <v>19</v>
      </c>
      <c r="B9" s="2">
        <v>1.22</v>
      </c>
      <c r="C9" s="2">
        <v>1.3440000000000001</v>
      </c>
      <c r="D9" s="2">
        <v>1.153</v>
      </c>
      <c r="E9" s="2">
        <v>0.06</v>
      </c>
      <c r="F9" s="2">
        <v>8.6999999999999994E-2</v>
      </c>
      <c r="G9" s="2">
        <v>5.8000000000000003E-2</v>
      </c>
      <c r="H9" s="2">
        <v>0.20100000000000001</v>
      </c>
      <c r="I9" s="2">
        <v>0.23599999999999999</v>
      </c>
      <c r="J9" s="2">
        <v>0.21099999999999999</v>
      </c>
      <c r="K9" s="2">
        <v>1.635</v>
      </c>
      <c r="L9" s="2">
        <v>1.66</v>
      </c>
      <c r="M9" s="2">
        <v>1.665</v>
      </c>
      <c r="N9" s="5">
        <v>670</v>
      </c>
    </row>
    <row r="11" spans="1:14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12</v>
      </c>
      <c r="B12" s="6" t="s">
        <v>21</v>
      </c>
      <c r="C12" s="6" t="s">
        <v>21</v>
      </c>
      <c r="D12" s="6" t="s">
        <v>21</v>
      </c>
      <c r="E12" s="6" t="s">
        <v>39</v>
      </c>
      <c r="F12" s="6" t="s">
        <v>39</v>
      </c>
      <c r="G12" s="6" t="s">
        <v>39</v>
      </c>
      <c r="H12" s="6" t="s">
        <v>158</v>
      </c>
      <c r="I12" s="6" t="s">
        <v>158</v>
      </c>
      <c r="J12" s="6" t="s">
        <v>158</v>
      </c>
      <c r="K12" s="6" t="s">
        <v>166</v>
      </c>
      <c r="L12" s="6" t="s">
        <v>166</v>
      </c>
      <c r="M12" s="6" t="s">
        <v>166</v>
      </c>
    </row>
    <row r="13" spans="1:14" x14ac:dyDescent="0.25">
      <c r="A13" s="4" t="s">
        <v>13</v>
      </c>
      <c r="B13" s="6" t="s">
        <v>23</v>
      </c>
      <c r="C13" s="6" t="s">
        <v>23</v>
      </c>
      <c r="D13" s="6" t="s">
        <v>23</v>
      </c>
      <c r="E13" s="6" t="s">
        <v>40</v>
      </c>
      <c r="F13" s="6" t="s">
        <v>40</v>
      </c>
      <c r="G13" s="6" t="s">
        <v>40</v>
      </c>
      <c r="H13" s="6" t="s">
        <v>160</v>
      </c>
      <c r="I13" s="6" t="s">
        <v>160</v>
      </c>
      <c r="J13" s="6" t="s">
        <v>160</v>
      </c>
      <c r="K13" s="6" t="s">
        <v>167</v>
      </c>
      <c r="L13" s="6" t="s">
        <v>167</v>
      </c>
      <c r="M13" s="6" t="s">
        <v>167</v>
      </c>
    </row>
    <row r="14" spans="1:14" x14ac:dyDescent="0.25">
      <c r="A14" s="4" t="s">
        <v>14</v>
      </c>
      <c r="B14" s="6" t="s">
        <v>25</v>
      </c>
      <c r="C14" s="6" t="s">
        <v>25</v>
      </c>
      <c r="D14" s="6" t="s">
        <v>25</v>
      </c>
      <c r="E14" s="6" t="s">
        <v>41</v>
      </c>
      <c r="F14" s="6" t="s">
        <v>41</v>
      </c>
      <c r="G14" s="6" t="s">
        <v>41</v>
      </c>
      <c r="H14" s="6" t="s">
        <v>161</v>
      </c>
      <c r="I14" s="6" t="s">
        <v>161</v>
      </c>
      <c r="J14" s="6" t="s">
        <v>161</v>
      </c>
      <c r="K14" s="6" t="s">
        <v>168</v>
      </c>
      <c r="L14" s="6" t="s">
        <v>168</v>
      </c>
      <c r="M14" s="6" t="s">
        <v>168</v>
      </c>
    </row>
    <row r="15" spans="1:14" x14ac:dyDescent="0.25">
      <c r="A15" s="4" t="s">
        <v>15</v>
      </c>
      <c r="B15" s="6" t="s">
        <v>27</v>
      </c>
      <c r="C15" s="6" t="s">
        <v>27</v>
      </c>
      <c r="D15" s="6" t="s">
        <v>27</v>
      </c>
      <c r="E15" s="6" t="s">
        <v>42</v>
      </c>
      <c r="F15" s="6" t="s">
        <v>42</v>
      </c>
      <c r="G15" s="6" t="s">
        <v>42</v>
      </c>
      <c r="H15" s="6" t="s">
        <v>159</v>
      </c>
      <c r="I15" s="6" t="s">
        <v>159</v>
      </c>
      <c r="J15" s="6" t="s">
        <v>159</v>
      </c>
      <c r="K15" s="6" t="s">
        <v>169</v>
      </c>
      <c r="L15" s="6" t="s">
        <v>169</v>
      </c>
      <c r="M15" s="6" t="s">
        <v>169</v>
      </c>
    </row>
    <row r="16" spans="1:14" x14ac:dyDescent="0.25">
      <c r="A16" s="4" t="s">
        <v>16</v>
      </c>
      <c r="B16" s="6" t="s">
        <v>30</v>
      </c>
      <c r="C16" s="6" t="s">
        <v>30</v>
      </c>
      <c r="D16" s="6" t="s">
        <v>30</v>
      </c>
      <c r="E16" s="6" t="s">
        <v>43</v>
      </c>
      <c r="F16" s="6" t="s">
        <v>43</v>
      </c>
      <c r="G16" s="6" t="s">
        <v>43</v>
      </c>
      <c r="H16" s="6" t="s">
        <v>162</v>
      </c>
      <c r="I16" s="6" t="s">
        <v>162</v>
      </c>
      <c r="J16" s="6" t="s">
        <v>162</v>
      </c>
      <c r="K16" s="6" t="s">
        <v>170</v>
      </c>
      <c r="L16" s="6" t="s">
        <v>170</v>
      </c>
      <c r="M16" s="6" t="s">
        <v>170</v>
      </c>
    </row>
    <row r="17" spans="1:13" x14ac:dyDescent="0.25">
      <c r="A17" s="4" t="s">
        <v>17</v>
      </c>
      <c r="B17" s="6" t="s">
        <v>33</v>
      </c>
      <c r="C17" s="6" t="s">
        <v>33</v>
      </c>
      <c r="D17" s="6" t="s">
        <v>33</v>
      </c>
      <c r="E17" s="6" t="s">
        <v>155</v>
      </c>
      <c r="F17" s="6" t="s">
        <v>155</v>
      </c>
      <c r="G17" s="6" t="s">
        <v>155</v>
      </c>
      <c r="H17" s="6" t="s">
        <v>163</v>
      </c>
      <c r="I17" s="6" t="s">
        <v>163</v>
      </c>
      <c r="J17" s="6" t="s">
        <v>163</v>
      </c>
      <c r="K17" s="6" t="s">
        <v>171</v>
      </c>
      <c r="L17" s="6" t="s">
        <v>171</v>
      </c>
      <c r="M17" s="6" t="s">
        <v>171</v>
      </c>
    </row>
    <row r="18" spans="1:13" x14ac:dyDescent="0.25">
      <c r="A18" s="4" t="s">
        <v>18</v>
      </c>
      <c r="B18" s="6" t="s">
        <v>35</v>
      </c>
      <c r="C18" s="6" t="s">
        <v>35</v>
      </c>
      <c r="D18" s="6" t="s">
        <v>35</v>
      </c>
      <c r="E18" s="6" t="s">
        <v>156</v>
      </c>
      <c r="F18" s="6" t="s">
        <v>156</v>
      </c>
      <c r="G18" s="6" t="s">
        <v>156</v>
      </c>
      <c r="H18" s="6" t="s">
        <v>164</v>
      </c>
      <c r="I18" s="6" t="s">
        <v>164</v>
      </c>
      <c r="J18" s="6" t="s">
        <v>164</v>
      </c>
      <c r="K18" s="6" t="s">
        <v>172</v>
      </c>
      <c r="L18" s="6" t="s">
        <v>172</v>
      </c>
      <c r="M18" s="6" t="s">
        <v>172</v>
      </c>
    </row>
    <row r="19" spans="1:13" x14ac:dyDescent="0.25">
      <c r="A19" s="4" t="s">
        <v>19</v>
      </c>
      <c r="B19" s="6" t="s">
        <v>36</v>
      </c>
      <c r="C19" s="6" t="s">
        <v>36</v>
      </c>
      <c r="D19" s="6" t="s">
        <v>36</v>
      </c>
      <c r="E19" s="6" t="s">
        <v>157</v>
      </c>
      <c r="F19" s="6" t="s">
        <v>157</v>
      </c>
      <c r="G19" s="6" t="s">
        <v>157</v>
      </c>
      <c r="H19" s="6" t="s">
        <v>165</v>
      </c>
      <c r="I19" s="6" t="s">
        <v>165</v>
      </c>
      <c r="J19" s="6" t="s">
        <v>165</v>
      </c>
      <c r="K19" s="6" t="s">
        <v>173</v>
      </c>
      <c r="L19" s="6" t="s">
        <v>173</v>
      </c>
      <c r="M19" s="6" t="s">
        <v>173</v>
      </c>
    </row>
    <row r="21" spans="1:13" ht="30" x14ac:dyDescent="0.25">
      <c r="A21" s="3" t="s">
        <v>38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>
        <v>25</v>
      </c>
      <c r="F22" s="2">
        <v>25</v>
      </c>
      <c r="G22" s="2">
        <v>25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25</v>
      </c>
      <c r="L23" s="2">
        <v>25</v>
      </c>
      <c r="M23" s="2">
        <v>25</v>
      </c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25</v>
      </c>
      <c r="L24" s="2">
        <v>25</v>
      </c>
      <c r="M24" s="2">
        <v>25</v>
      </c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25</v>
      </c>
      <c r="L25" s="2">
        <v>25</v>
      </c>
      <c r="M25" s="2">
        <v>25</v>
      </c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25</v>
      </c>
      <c r="L26" s="2">
        <v>25</v>
      </c>
      <c r="M26" s="2">
        <v>25</v>
      </c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25</v>
      </c>
      <c r="L27" s="2">
        <v>25</v>
      </c>
      <c r="M27" s="2">
        <v>25</v>
      </c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25</v>
      </c>
      <c r="L28" s="2">
        <v>25</v>
      </c>
      <c r="M28" s="2">
        <v>25</v>
      </c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25</v>
      </c>
      <c r="L29" s="2">
        <v>25</v>
      </c>
      <c r="M29" s="2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1842-B555-40EE-98A6-68A6EF95C6C6}">
  <dimension ref="A1:N29"/>
  <sheetViews>
    <sheetView workbookViewId="0">
      <selection sqref="A1:XFD1048576"/>
    </sheetView>
  </sheetViews>
  <sheetFormatPr defaultRowHeight="15" x14ac:dyDescent="0.25"/>
  <sheetData>
    <row r="1" spans="1:14" x14ac:dyDescent="0.25">
      <c r="A1" s="3" t="s">
        <v>3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12</v>
      </c>
      <c r="B2" s="2">
        <v>4.9000000000000002E-2</v>
      </c>
      <c r="C2" s="2">
        <v>5.6000000000000001E-2</v>
      </c>
      <c r="D2" s="2">
        <v>5.2999999999999999E-2</v>
      </c>
      <c r="E2" s="2">
        <v>1.4830000000000001</v>
      </c>
      <c r="F2" s="2">
        <v>1.3819999999999999</v>
      </c>
      <c r="G2" s="2">
        <v>1.35</v>
      </c>
      <c r="H2" s="2">
        <v>5.1999999999999998E-2</v>
      </c>
      <c r="I2" s="2">
        <v>5.1999999999999998E-2</v>
      </c>
      <c r="J2" s="2">
        <v>0.05</v>
      </c>
      <c r="K2" s="2">
        <v>5.1999999999999998E-2</v>
      </c>
      <c r="L2" s="2">
        <v>5.2999999999999999E-2</v>
      </c>
      <c r="M2" s="2">
        <v>5.2999999999999999E-2</v>
      </c>
      <c r="N2" s="5">
        <v>670</v>
      </c>
    </row>
    <row r="3" spans="1:14" x14ac:dyDescent="0.25">
      <c r="A3" s="4" t="s">
        <v>13</v>
      </c>
      <c r="B3" s="2">
        <v>0.16800000000000001</v>
      </c>
      <c r="C3" s="2">
        <v>0.13100000000000001</v>
      </c>
      <c r="D3" s="2">
        <v>0.13400000000000001</v>
      </c>
      <c r="E3" s="2">
        <v>1.407</v>
      </c>
      <c r="F3" s="2">
        <v>1.1359999999999999</v>
      </c>
      <c r="G3" s="2">
        <v>1.319</v>
      </c>
      <c r="H3" s="2">
        <v>5.3999999999999999E-2</v>
      </c>
      <c r="I3" s="2">
        <v>5.3999999999999999E-2</v>
      </c>
      <c r="J3" s="2">
        <v>5.3999999999999999E-2</v>
      </c>
      <c r="K3" s="2">
        <v>7.1999999999999995E-2</v>
      </c>
      <c r="L3" s="2">
        <v>5.3999999999999999E-2</v>
      </c>
      <c r="M3" s="2">
        <v>5.3999999999999999E-2</v>
      </c>
      <c r="N3" s="5">
        <v>670</v>
      </c>
    </row>
    <row r="4" spans="1:14" x14ac:dyDescent="0.25">
      <c r="A4" s="4" t="s">
        <v>14</v>
      </c>
      <c r="B4" s="2">
        <v>0.311</v>
      </c>
      <c r="C4" s="2">
        <v>0.32400000000000001</v>
      </c>
      <c r="D4" s="2">
        <v>0.26700000000000002</v>
      </c>
      <c r="E4" s="2">
        <v>5.7000000000000002E-2</v>
      </c>
      <c r="F4" s="2">
        <v>5.0999999999999997E-2</v>
      </c>
      <c r="G4" s="2">
        <v>0.05</v>
      </c>
      <c r="H4" s="2">
        <v>0.188</v>
      </c>
      <c r="I4" s="2">
        <v>0.158</v>
      </c>
      <c r="J4" s="2">
        <v>0.17299999999999999</v>
      </c>
      <c r="K4" s="2">
        <v>0.13800000000000001</v>
      </c>
      <c r="L4" s="2">
        <v>0.13600000000000001</v>
      </c>
      <c r="M4" s="2">
        <v>0.125</v>
      </c>
      <c r="N4" s="5">
        <v>670</v>
      </c>
    </row>
    <row r="5" spans="1:14" x14ac:dyDescent="0.25">
      <c r="A5" s="4" t="s">
        <v>15</v>
      </c>
      <c r="B5" s="2">
        <v>0.42199999999999999</v>
      </c>
      <c r="C5" s="2">
        <v>0.48099999999999998</v>
      </c>
      <c r="D5" s="2">
        <v>0.46100000000000002</v>
      </c>
      <c r="E5" s="2">
        <v>5.8000000000000003E-2</v>
      </c>
      <c r="F5" s="2">
        <v>5.5E-2</v>
      </c>
      <c r="G5" s="2">
        <v>5.0999999999999997E-2</v>
      </c>
      <c r="H5" s="2">
        <v>5.5E-2</v>
      </c>
      <c r="I5" s="2">
        <v>5.7000000000000002E-2</v>
      </c>
      <c r="J5" s="2">
        <v>5.5E-2</v>
      </c>
      <c r="K5" s="2">
        <v>5.6000000000000001E-2</v>
      </c>
      <c r="L5" s="2">
        <v>6.0999999999999999E-2</v>
      </c>
      <c r="M5" s="2">
        <v>5.7000000000000002E-2</v>
      </c>
      <c r="N5" s="5">
        <v>670</v>
      </c>
    </row>
    <row r="6" spans="1:14" x14ac:dyDescent="0.25">
      <c r="A6" s="4" t="s">
        <v>16</v>
      </c>
      <c r="B6" s="2">
        <v>0.78400000000000003</v>
      </c>
      <c r="C6" s="2">
        <v>0.85799999999999998</v>
      </c>
      <c r="D6" s="2">
        <v>0.86299999999999999</v>
      </c>
      <c r="E6" s="2">
        <v>5.8000000000000003E-2</v>
      </c>
      <c r="F6" s="2">
        <v>5.6000000000000001E-2</v>
      </c>
      <c r="G6" s="2">
        <v>5.6000000000000001E-2</v>
      </c>
      <c r="H6" s="2">
        <v>5.7000000000000002E-2</v>
      </c>
      <c r="I6" s="2">
        <v>5.1999999999999998E-2</v>
      </c>
      <c r="J6" s="2">
        <v>5.8000000000000003E-2</v>
      </c>
      <c r="K6" s="2">
        <v>0.123</v>
      </c>
      <c r="L6" s="2">
        <v>9.6000000000000002E-2</v>
      </c>
      <c r="M6" s="2">
        <v>9.8000000000000004E-2</v>
      </c>
      <c r="N6" s="5">
        <v>670</v>
      </c>
    </row>
    <row r="7" spans="1:14" x14ac:dyDescent="0.25">
      <c r="A7" s="4" t="s">
        <v>17</v>
      </c>
      <c r="B7" s="2">
        <v>1.264</v>
      </c>
      <c r="C7" s="2">
        <v>1.397</v>
      </c>
      <c r="D7" s="2">
        <v>1.4319999999999999</v>
      </c>
      <c r="E7" s="2">
        <v>5.2999999999999999E-2</v>
      </c>
      <c r="F7" s="2">
        <v>0.05</v>
      </c>
      <c r="G7" s="2">
        <v>5.6000000000000001E-2</v>
      </c>
      <c r="H7" s="2">
        <v>5.8000000000000003E-2</v>
      </c>
      <c r="I7" s="2">
        <v>5.6000000000000001E-2</v>
      </c>
      <c r="J7" s="2">
        <v>5.3999999999999999E-2</v>
      </c>
      <c r="K7" s="2">
        <v>0.107</v>
      </c>
      <c r="L7" s="2">
        <v>0.105</v>
      </c>
      <c r="M7" s="2">
        <v>0.105</v>
      </c>
      <c r="N7" s="5">
        <v>670</v>
      </c>
    </row>
    <row r="8" spans="1:14" x14ac:dyDescent="0.25">
      <c r="A8" s="4" t="s">
        <v>18</v>
      </c>
      <c r="B8" s="2">
        <v>1.343</v>
      </c>
      <c r="C8" s="2">
        <v>1.319</v>
      </c>
      <c r="D8" s="2">
        <v>1.2669999999999999</v>
      </c>
      <c r="E8" s="2">
        <v>5.3999999999999999E-2</v>
      </c>
      <c r="F8" s="2">
        <v>5.0999999999999997E-2</v>
      </c>
      <c r="G8" s="2">
        <v>5.2999999999999999E-2</v>
      </c>
      <c r="H8" s="2">
        <v>0.32300000000000001</v>
      </c>
      <c r="I8" s="2">
        <v>0.34699999999999998</v>
      </c>
      <c r="J8" s="2">
        <v>0.32800000000000001</v>
      </c>
      <c r="K8" s="2">
        <v>5.5E-2</v>
      </c>
      <c r="L8" s="2">
        <v>5.1999999999999998E-2</v>
      </c>
      <c r="M8" s="2">
        <v>5.2999999999999999E-2</v>
      </c>
      <c r="N8" s="5">
        <v>670</v>
      </c>
    </row>
    <row r="9" spans="1:14" x14ac:dyDescent="0.25">
      <c r="A9" s="4" t="s">
        <v>19</v>
      </c>
      <c r="B9" s="2">
        <v>1.3</v>
      </c>
      <c r="C9" s="2">
        <v>1.2649999999999999</v>
      </c>
      <c r="D9" s="2">
        <v>1.3839999999999999</v>
      </c>
      <c r="E9" s="2">
        <v>0.183</v>
      </c>
      <c r="F9" s="2">
        <v>0.19</v>
      </c>
      <c r="G9" s="2">
        <v>0.17</v>
      </c>
      <c r="H9" s="2">
        <v>0.56000000000000005</v>
      </c>
      <c r="I9" s="2">
        <v>0.53600000000000003</v>
      </c>
      <c r="J9" s="2">
        <v>0.44600000000000001</v>
      </c>
      <c r="K9" s="2">
        <v>5.1999999999999998E-2</v>
      </c>
      <c r="L9" s="2">
        <v>0.05</v>
      </c>
      <c r="M9" s="2">
        <v>5.1999999999999998E-2</v>
      </c>
      <c r="N9" s="5">
        <v>670</v>
      </c>
    </row>
    <row r="11" spans="1:14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 t="s">
        <v>49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12</v>
      </c>
      <c r="B12" s="6" t="s">
        <v>21</v>
      </c>
      <c r="C12" s="6" t="s">
        <v>21</v>
      </c>
      <c r="D12" s="6" t="s">
        <v>21</v>
      </c>
      <c r="E12" s="6" t="s">
        <v>44</v>
      </c>
      <c r="F12" s="6" t="s">
        <v>44</v>
      </c>
      <c r="G12" s="6" t="s">
        <v>44</v>
      </c>
      <c r="H12" s="6" t="s">
        <v>28</v>
      </c>
      <c r="I12" s="6" t="s">
        <v>28</v>
      </c>
      <c r="J12" s="6" t="s">
        <v>28</v>
      </c>
      <c r="K12" s="6" t="s">
        <v>180</v>
      </c>
      <c r="L12" s="6" t="s">
        <v>180</v>
      </c>
      <c r="M12" s="6" t="s">
        <v>180</v>
      </c>
    </row>
    <row r="13" spans="1:14" x14ac:dyDescent="0.25">
      <c r="A13" s="4" t="s">
        <v>13</v>
      </c>
      <c r="B13" s="6" t="s">
        <v>23</v>
      </c>
      <c r="C13" s="6" t="s">
        <v>23</v>
      </c>
      <c r="D13" s="6" t="s">
        <v>23</v>
      </c>
      <c r="E13" s="6" t="s">
        <v>45</v>
      </c>
      <c r="F13" s="6" t="s">
        <v>45</v>
      </c>
      <c r="G13" s="6" t="s">
        <v>45</v>
      </c>
      <c r="H13" s="6" t="s">
        <v>31</v>
      </c>
      <c r="I13" s="6" t="s">
        <v>31</v>
      </c>
      <c r="J13" s="6" t="s">
        <v>31</v>
      </c>
      <c r="K13" s="6" t="s">
        <v>182</v>
      </c>
      <c r="L13" s="6" t="s">
        <v>182</v>
      </c>
      <c r="M13" s="6" t="s">
        <v>182</v>
      </c>
    </row>
    <row r="14" spans="1:14" x14ac:dyDescent="0.25">
      <c r="A14" s="4" t="s">
        <v>14</v>
      </c>
      <c r="B14" s="6" t="s">
        <v>25</v>
      </c>
      <c r="C14" s="6" t="s">
        <v>25</v>
      </c>
      <c r="D14" s="6" t="s">
        <v>25</v>
      </c>
      <c r="E14" s="6" t="s">
        <v>46</v>
      </c>
      <c r="F14" s="6" t="s">
        <v>46</v>
      </c>
      <c r="G14" s="6" t="s">
        <v>46</v>
      </c>
      <c r="H14" s="6" t="s">
        <v>174</v>
      </c>
      <c r="I14" s="6" t="s">
        <v>174</v>
      </c>
      <c r="J14" s="6" t="s">
        <v>174</v>
      </c>
      <c r="K14" s="6" t="s">
        <v>183</v>
      </c>
      <c r="L14" s="6" t="s">
        <v>183</v>
      </c>
      <c r="M14" s="6" t="s">
        <v>183</v>
      </c>
    </row>
    <row r="15" spans="1:14" x14ac:dyDescent="0.25">
      <c r="A15" s="4" t="s">
        <v>15</v>
      </c>
      <c r="B15" s="6" t="s">
        <v>27</v>
      </c>
      <c r="C15" s="6" t="s">
        <v>27</v>
      </c>
      <c r="D15" s="6" t="s">
        <v>27</v>
      </c>
      <c r="E15" s="6" t="s">
        <v>47</v>
      </c>
      <c r="F15" s="6" t="s">
        <v>47</v>
      </c>
      <c r="G15" s="6" t="s">
        <v>47</v>
      </c>
      <c r="H15" s="6" t="s">
        <v>175</v>
      </c>
      <c r="I15" s="6" t="s">
        <v>175</v>
      </c>
      <c r="J15" s="6" t="s">
        <v>175</v>
      </c>
      <c r="K15" s="6" t="s">
        <v>184</v>
      </c>
      <c r="L15" s="6" t="s">
        <v>184</v>
      </c>
      <c r="M15" s="6" t="s">
        <v>184</v>
      </c>
    </row>
    <row r="16" spans="1:14" x14ac:dyDescent="0.25">
      <c r="A16" s="4" t="s">
        <v>16</v>
      </c>
      <c r="B16" s="6" t="s">
        <v>30</v>
      </c>
      <c r="C16" s="6" t="s">
        <v>30</v>
      </c>
      <c r="D16" s="6" t="s">
        <v>30</v>
      </c>
      <c r="E16" s="6" t="s">
        <v>48</v>
      </c>
      <c r="F16" s="6" t="s">
        <v>48</v>
      </c>
      <c r="G16" s="6" t="s">
        <v>48</v>
      </c>
      <c r="H16" s="6" t="s">
        <v>176</v>
      </c>
      <c r="I16" s="6" t="s">
        <v>176</v>
      </c>
      <c r="J16" s="6" t="s">
        <v>176</v>
      </c>
      <c r="K16" s="6" t="s">
        <v>181</v>
      </c>
      <c r="L16" s="6" t="s">
        <v>181</v>
      </c>
      <c r="M16" s="6" t="s">
        <v>181</v>
      </c>
    </row>
    <row r="17" spans="1:13" x14ac:dyDescent="0.25">
      <c r="A17" s="4" t="s">
        <v>17</v>
      </c>
      <c r="B17" s="6" t="s">
        <v>33</v>
      </c>
      <c r="C17" s="6" t="s">
        <v>33</v>
      </c>
      <c r="D17" s="6" t="s">
        <v>33</v>
      </c>
      <c r="E17" s="6" t="s">
        <v>22</v>
      </c>
      <c r="F17" s="6" t="s">
        <v>22</v>
      </c>
      <c r="G17" s="6" t="s">
        <v>22</v>
      </c>
      <c r="H17" s="6" t="s">
        <v>177</v>
      </c>
      <c r="I17" s="6" t="s">
        <v>177</v>
      </c>
      <c r="J17" s="6" t="s">
        <v>177</v>
      </c>
      <c r="K17" s="6" t="s">
        <v>185</v>
      </c>
      <c r="L17" s="6" t="s">
        <v>185</v>
      </c>
      <c r="M17" s="6" t="s">
        <v>185</v>
      </c>
    </row>
    <row r="18" spans="1:13" x14ac:dyDescent="0.25">
      <c r="A18" s="4" t="s">
        <v>18</v>
      </c>
      <c r="B18" s="6" t="s">
        <v>35</v>
      </c>
      <c r="C18" s="6" t="s">
        <v>35</v>
      </c>
      <c r="D18" s="6" t="s">
        <v>35</v>
      </c>
      <c r="E18" s="6" t="s">
        <v>24</v>
      </c>
      <c r="F18" s="6" t="s">
        <v>24</v>
      </c>
      <c r="G18" s="6" t="s">
        <v>24</v>
      </c>
      <c r="H18" s="6" t="s">
        <v>178</v>
      </c>
      <c r="I18" s="6" t="s">
        <v>178</v>
      </c>
      <c r="J18" s="6" t="s">
        <v>178</v>
      </c>
      <c r="K18" s="6" t="s">
        <v>187</v>
      </c>
      <c r="L18" s="6" t="s">
        <v>187</v>
      </c>
      <c r="M18" s="6" t="s">
        <v>187</v>
      </c>
    </row>
    <row r="19" spans="1:13" x14ac:dyDescent="0.25">
      <c r="A19" s="4" t="s">
        <v>19</v>
      </c>
      <c r="B19" s="6" t="s">
        <v>36</v>
      </c>
      <c r="C19" s="6" t="s">
        <v>36</v>
      </c>
      <c r="D19" s="6" t="s">
        <v>36</v>
      </c>
      <c r="E19" s="6" t="s">
        <v>26</v>
      </c>
      <c r="F19" s="6" t="s">
        <v>26</v>
      </c>
      <c r="G19" s="6" t="s">
        <v>26</v>
      </c>
      <c r="H19" s="6" t="s">
        <v>179</v>
      </c>
      <c r="I19" s="6" t="s">
        <v>179</v>
      </c>
      <c r="J19" s="6" t="s">
        <v>179</v>
      </c>
      <c r="K19" s="6" t="s">
        <v>186</v>
      </c>
      <c r="L19" s="6" t="s">
        <v>186</v>
      </c>
      <c r="M19" s="6" t="s">
        <v>186</v>
      </c>
    </row>
    <row r="21" spans="1:13" ht="30" x14ac:dyDescent="0.25">
      <c r="A21" s="3" t="s">
        <v>38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>
        <v>25</v>
      </c>
      <c r="F22" s="2">
        <v>25</v>
      </c>
      <c r="G22" s="2">
        <v>25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>
        <v>25</v>
      </c>
      <c r="F23" s="2">
        <v>25</v>
      </c>
      <c r="G23" s="2">
        <v>25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252A-6E7B-4742-91D8-051B9B06B916}">
  <dimension ref="A1:N29"/>
  <sheetViews>
    <sheetView workbookViewId="0">
      <selection sqref="A1:XFD1048576"/>
    </sheetView>
  </sheetViews>
  <sheetFormatPr defaultRowHeight="15" x14ac:dyDescent="0.25"/>
  <sheetData>
    <row r="1" spans="1:14" x14ac:dyDescent="0.25">
      <c r="A1" s="3" t="s">
        <v>3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12</v>
      </c>
      <c r="B2" s="2">
        <v>5.1999999999999998E-2</v>
      </c>
      <c r="C2" s="2">
        <v>5.2999999999999999E-2</v>
      </c>
      <c r="D2" s="2">
        <v>0.05</v>
      </c>
      <c r="E2" s="2">
        <v>9.5000000000000001E-2</v>
      </c>
      <c r="F2" s="2">
        <v>9.6000000000000002E-2</v>
      </c>
      <c r="G2" s="2">
        <v>9.6000000000000002E-2</v>
      </c>
      <c r="H2" s="2">
        <v>7.8E-2</v>
      </c>
      <c r="I2" s="2">
        <v>8.1000000000000003E-2</v>
      </c>
      <c r="J2" s="2">
        <v>7.8E-2</v>
      </c>
      <c r="K2" s="2">
        <v>9.9000000000000005E-2</v>
      </c>
      <c r="L2" s="2">
        <v>0.104</v>
      </c>
      <c r="M2" s="2">
        <v>0.109</v>
      </c>
      <c r="N2" s="5">
        <v>670</v>
      </c>
    </row>
    <row r="3" spans="1:14" x14ac:dyDescent="0.25">
      <c r="A3" s="4" t="s">
        <v>13</v>
      </c>
      <c r="B3" s="2">
        <v>0.11899999999999999</v>
      </c>
      <c r="C3" s="2">
        <v>0.14499999999999999</v>
      </c>
      <c r="D3" s="2">
        <v>0.12</v>
      </c>
      <c r="E3" s="2">
        <v>0.13500000000000001</v>
      </c>
      <c r="F3" s="2">
        <v>0.158</v>
      </c>
      <c r="G3" s="2">
        <v>0.154</v>
      </c>
      <c r="H3" s="2">
        <v>0.93899999999999995</v>
      </c>
      <c r="I3" s="2">
        <v>1.0389999999999999</v>
      </c>
      <c r="J3" s="2">
        <v>0.94599999999999995</v>
      </c>
      <c r="K3" s="2">
        <v>9.6000000000000002E-2</v>
      </c>
      <c r="L3" s="2">
        <v>0.10299999999999999</v>
      </c>
      <c r="M3" s="2">
        <v>0.10299999999999999</v>
      </c>
      <c r="N3" s="5">
        <v>670</v>
      </c>
    </row>
    <row r="4" spans="1:14" x14ac:dyDescent="0.25">
      <c r="A4" s="4" t="s">
        <v>14</v>
      </c>
      <c r="B4" s="2">
        <v>0.33100000000000002</v>
      </c>
      <c r="C4" s="2">
        <v>0.29699999999999999</v>
      </c>
      <c r="D4" s="2">
        <v>0.38500000000000001</v>
      </c>
      <c r="E4" s="2">
        <v>0.95199999999999996</v>
      </c>
      <c r="F4" s="2">
        <v>0.98799999999999999</v>
      </c>
      <c r="G4" s="2">
        <v>0.873</v>
      </c>
      <c r="H4" s="2">
        <v>0.13400000000000001</v>
      </c>
      <c r="I4" s="2">
        <v>0.151</v>
      </c>
      <c r="J4" s="2">
        <v>0.121</v>
      </c>
      <c r="K4" s="2">
        <v>1.1910000000000001</v>
      </c>
      <c r="L4" s="2">
        <v>1.3160000000000001</v>
      </c>
      <c r="M4" s="2">
        <v>1.3320000000000001</v>
      </c>
      <c r="N4" s="5">
        <v>670</v>
      </c>
    </row>
    <row r="5" spans="1:14" x14ac:dyDescent="0.25">
      <c r="A5" s="4" t="s">
        <v>15</v>
      </c>
      <c r="B5" s="2">
        <v>0.54600000000000004</v>
      </c>
      <c r="C5" s="2">
        <v>0.51100000000000001</v>
      </c>
      <c r="D5" s="2">
        <v>0.63700000000000001</v>
      </c>
      <c r="E5" s="2">
        <v>2.399</v>
      </c>
      <c r="F5" s="2">
        <v>2.5680000000000001</v>
      </c>
      <c r="G5" s="2">
        <v>2.2810000000000001</v>
      </c>
      <c r="H5" s="2">
        <v>0.13100000000000001</v>
      </c>
      <c r="I5" s="2">
        <v>0.16</v>
      </c>
      <c r="J5" s="2">
        <v>0.13</v>
      </c>
      <c r="K5" s="2">
        <v>0.19400000000000001</v>
      </c>
      <c r="L5" s="2">
        <v>0.182</v>
      </c>
      <c r="M5" s="2">
        <v>0.19700000000000001</v>
      </c>
      <c r="N5" s="5">
        <v>670</v>
      </c>
    </row>
    <row r="6" spans="1:14" x14ac:dyDescent="0.25">
      <c r="A6" s="4" t="s">
        <v>16</v>
      </c>
      <c r="B6" s="2">
        <v>0.90900000000000003</v>
      </c>
      <c r="C6" s="2">
        <v>0.86599999999999999</v>
      </c>
      <c r="D6" s="2">
        <v>0.73699999999999999</v>
      </c>
      <c r="E6" s="2">
        <v>6.9000000000000006E-2</v>
      </c>
      <c r="F6" s="2">
        <v>7.1999999999999995E-2</v>
      </c>
      <c r="G6" s="2">
        <v>7.0000000000000007E-2</v>
      </c>
      <c r="H6" s="2">
        <v>0.14099999999999999</v>
      </c>
      <c r="I6" s="2">
        <v>0.14799999999999999</v>
      </c>
      <c r="J6" s="2">
        <v>0.14199999999999999</v>
      </c>
      <c r="K6" s="2">
        <v>0.29899999999999999</v>
      </c>
      <c r="L6" s="2">
        <v>0.34599999999999997</v>
      </c>
      <c r="M6" s="2">
        <v>0.33900000000000002</v>
      </c>
      <c r="N6" s="5">
        <v>670</v>
      </c>
    </row>
    <row r="7" spans="1:14" x14ac:dyDescent="0.25">
      <c r="A7" s="4" t="s">
        <v>17</v>
      </c>
      <c r="B7" s="2">
        <v>1.2310000000000001</v>
      </c>
      <c r="C7" s="2">
        <v>1.387</v>
      </c>
      <c r="D7" s="2">
        <v>1.4550000000000001</v>
      </c>
      <c r="E7" s="2">
        <v>0.78200000000000003</v>
      </c>
      <c r="F7" s="2">
        <v>0.79800000000000004</v>
      </c>
      <c r="G7" s="2">
        <v>0.78</v>
      </c>
      <c r="H7" s="2">
        <v>0.13100000000000001</v>
      </c>
      <c r="I7" s="2">
        <v>0.106</v>
      </c>
      <c r="J7" s="2">
        <v>0.14499999999999999</v>
      </c>
      <c r="K7" s="2">
        <v>5.1999999999999998E-2</v>
      </c>
      <c r="L7" s="2">
        <v>5.0999999999999997E-2</v>
      </c>
      <c r="M7" s="2">
        <v>6.0999999999999999E-2</v>
      </c>
      <c r="N7" s="5">
        <v>670</v>
      </c>
    </row>
    <row r="8" spans="1:14" x14ac:dyDescent="0.25">
      <c r="A8" s="4" t="s">
        <v>18</v>
      </c>
      <c r="B8" s="2">
        <v>1.373</v>
      </c>
      <c r="C8" s="2">
        <v>1.35</v>
      </c>
      <c r="D8" s="2">
        <v>1.2549999999999999</v>
      </c>
      <c r="E8" s="2">
        <v>1.635</v>
      </c>
      <c r="F8" s="2">
        <v>2.2410000000000001</v>
      </c>
      <c r="G8" s="2">
        <v>2.0209999999999999</v>
      </c>
      <c r="H8" s="2">
        <v>0.255</v>
      </c>
      <c r="I8" s="2">
        <v>0.255</v>
      </c>
      <c r="J8" s="2">
        <v>0.27700000000000002</v>
      </c>
      <c r="K8" s="2">
        <v>5.5E-2</v>
      </c>
      <c r="L8" s="2">
        <v>5.3999999999999999E-2</v>
      </c>
      <c r="M8" s="2">
        <v>7.3999999999999996E-2</v>
      </c>
      <c r="N8" s="5">
        <v>670</v>
      </c>
    </row>
    <row r="9" spans="1:14" x14ac:dyDescent="0.25">
      <c r="A9" s="4" t="s">
        <v>19</v>
      </c>
      <c r="B9" s="2">
        <v>1.381</v>
      </c>
      <c r="C9" s="2">
        <v>1.294</v>
      </c>
      <c r="D9" s="2">
        <v>1.3280000000000001</v>
      </c>
      <c r="E9" s="2">
        <v>5.6000000000000001E-2</v>
      </c>
      <c r="F9" s="2">
        <v>5.3999999999999999E-2</v>
      </c>
      <c r="G9" s="2">
        <v>4.1000000000000002E-2</v>
      </c>
      <c r="H9" s="2">
        <v>0.56200000000000006</v>
      </c>
      <c r="I9" s="2">
        <v>0.52500000000000002</v>
      </c>
      <c r="J9" s="2">
        <v>0.38400000000000001</v>
      </c>
      <c r="K9" s="2">
        <v>5.2999999999999999E-2</v>
      </c>
      <c r="L9" s="2">
        <v>5.2999999999999999E-2</v>
      </c>
      <c r="M9" s="2">
        <v>5.0999999999999997E-2</v>
      </c>
      <c r="N9" s="5">
        <v>670</v>
      </c>
    </row>
    <row r="11" spans="1:14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12</v>
      </c>
      <c r="B12" s="6" t="s">
        <v>21</v>
      </c>
      <c r="C12" s="6" t="s">
        <v>21</v>
      </c>
      <c r="D12" s="6" t="s">
        <v>21</v>
      </c>
      <c r="E12" s="6" t="s">
        <v>29</v>
      </c>
      <c r="F12" s="6" t="s">
        <v>29</v>
      </c>
      <c r="G12" s="6" t="s">
        <v>29</v>
      </c>
      <c r="H12" s="6" t="s">
        <v>54</v>
      </c>
      <c r="I12" s="6" t="s">
        <v>54</v>
      </c>
      <c r="J12" s="6" t="s">
        <v>54</v>
      </c>
      <c r="K12" s="6" t="s">
        <v>192</v>
      </c>
      <c r="L12" s="6" t="s">
        <v>192</v>
      </c>
      <c r="M12" s="6" t="s">
        <v>192</v>
      </c>
    </row>
    <row r="13" spans="1:14" x14ac:dyDescent="0.25">
      <c r="A13" s="4" t="s">
        <v>13</v>
      </c>
      <c r="B13" s="6" t="s">
        <v>23</v>
      </c>
      <c r="C13" s="6" t="s">
        <v>23</v>
      </c>
      <c r="D13" s="6" t="s">
        <v>23</v>
      </c>
      <c r="E13" s="6" t="s">
        <v>32</v>
      </c>
      <c r="F13" s="6" t="s">
        <v>32</v>
      </c>
      <c r="G13" s="6" t="s">
        <v>32</v>
      </c>
      <c r="H13" s="6" t="s">
        <v>55</v>
      </c>
      <c r="I13" s="6" t="s">
        <v>55</v>
      </c>
      <c r="J13" s="6" t="s">
        <v>55</v>
      </c>
      <c r="K13" s="6" t="s">
        <v>193</v>
      </c>
      <c r="L13" s="6" t="s">
        <v>193</v>
      </c>
      <c r="M13" s="6" t="s">
        <v>193</v>
      </c>
    </row>
    <row r="14" spans="1:14" x14ac:dyDescent="0.25">
      <c r="A14" s="4" t="s">
        <v>14</v>
      </c>
      <c r="B14" s="6" t="s">
        <v>25</v>
      </c>
      <c r="C14" s="6" t="s">
        <v>25</v>
      </c>
      <c r="D14" s="6" t="s">
        <v>25</v>
      </c>
      <c r="E14" s="6" t="s">
        <v>34</v>
      </c>
      <c r="F14" s="6" t="s">
        <v>34</v>
      </c>
      <c r="G14" s="6" t="s">
        <v>34</v>
      </c>
      <c r="H14" s="6" t="s">
        <v>56</v>
      </c>
      <c r="I14" s="6" t="s">
        <v>56</v>
      </c>
      <c r="J14" s="6" t="s">
        <v>56</v>
      </c>
      <c r="K14" s="6" t="s">
        <v>194</v>
      </c>
      <c r="L14" s="6" t="s">
        <v>194</v>
      </c>
      <c r="M14" s="6" t="s">
        <v>194</v>
      </c>
    </row>
    <row r="15" spans="1:14" x14ac:dyDescent="0.25">
      <c r="A15" s="4" t="s">
        <v>15</v>
      </c>
      <c r="B15" s="6" t="s">
        <v>27</v>
      </c>
      <c r="C15" s="6" t="s">
        <v>27</v>
      </c>
      <c r="D15" s="6" t="s">
        <v>27</v>
      </c>
      <c r="E15" s="6" t="s">
        <v>188</v>
      </c>
      <c r="F15" s="6" t="s">
        <v>188</v>
      </c>
      <c r="G15" s="6" t="s">
        <v>188</v>
      </c>
      <c r="H15" s="6" t="s">
        <v>57</v>
      </c>
      <c r="I15" s="6" t="s">
        <v>57</v>
      </c>
      <c r="J15" s="6" t="s">
        <v>57</v>
      </c>
      <c r="K15" s="6" t="s">
        <v>195</v>
      </c>
      <c r="L15" s="6" t="s">
        <v>195</v>
      </c>
      <c r="M15" s="6" t="s">
        <v>195</v>
      </c>
    </row>
    <row r="16" spans="1:14" x14ac:dyDescent="0.25">
      <c r="A16" s="4" t="s">
        <v>16</v>
      </c>
      <c r="B16" s="6" t="s">
        <v>30</v>
      </c>
      <c r="C16" s="6" t="s">
        <v>30</v>
      </c>
      <c r="D16" s="6" t="s">
        <v>30</v>
      </c>
      <c r="E16" s="6" t="s">
        <v>37</v>
      </c>
      <c r="F16" s="6" t="s">
        <v>37</v>
      </c>
      <c r="G16" s="6" t="s">
        <v>37</v>
      </c>
      <c r="H16" s="6" t="s">
        <v>58</v>
      </c>
      <c r="I16" s="6" t="s">
        <v>58</v>
      </c>
      <c r="J16" s="6" t="s">
        <v>58</v>
      </c>
      <c r="K16" s="6" t="s">
        <v>196</v>
      </c>
      <c r="L16" s="6" t="s">
        <v>196</v>
      </c>
      <c r="M16" s="6" t="s">
        <v>196</v>
      </c>
    </row>
    <row r="17" spans="1:13" x14ac:dyDescent="0.25">
      <c r="A17" s="4" t="s">
        <v>17</v>
      </c>
      <c r="B17" s="6" t="s">
        <v>33</v>
      </c>
      <c r="C17" s="6" t="s">
        <v>33</v>
      </c>
      <c r="D17" s="6" t="s">
        <v>33</v>
      </c>
      <c r="E17" s="6" t="s">
        <v>51</v>
      </c>
      <c r="F17" s="6" t="s">
        <v>51</v>
      </c>
      <c r="G17" s="6" t="s">
        <v>51</v>
      </c>
      <c r="H17" s="6" t="s">
        <v>59</v>
      </c>
      <c r="I17" s="6" t="s">
        <v>59</v>
      </c>
      <c r="J17" s="6" t="s">
        <v>59</v>
      </c>
      <c r="K17" s="6" t="s">
        <v>197</v>
      </c>
      <c r="L17" s="6" t="s">
        <v>197</v>
      </c>
      <c r="M17" s="6" t="s">
        <v>197</v>
      </c>
    </row>
    <row r="18" spans="1:13" x14ac:dyDescent="0.25">
      <c r="A18" s="4" t="s">
        <v>18</v>
      </c>
      <c r="B18" s="6" t="s">
        <v>35</v>
      </c>
      <c r="C18" s="6" t="s">
        <v>35</v>
      </c>
      <c r="D18" s="6" t="s">
        <v>35</v>
      </c>
      <c r="E18" s="6" t="s">
        <v>189</v>
      </c>
      <c r="F18" s="6" t="s">
        <v>189</v>
      </c>
      <c r="G18" s="6" t="s">
        <v>189</v>
      </c>
      <c r="H18" s="6" t="s">
        <v>190</v>
      </c>
      <c r="I18" s="6" t="s">
        <v>190</v>
      </c>
      <c r="J18" s="6" t="s">
        <v>190</v>
      </c>
      <c r="K18" s="6" t="s">
        <v>198</v>
      </c>
      <c r="L18" s="6" t="s">
        <v>198</v>
      </c>
      <c r="M18" s="6" t="s">
        <v>198</v>
      </c>
    </row>
    <row r="19" spans="1:13" x14ac:dyDescent="0.25">
      <c r="A19" s="4" t="s">
        <v>19</v>
      </c>
      <c r="B19" s="6" t="s">
        <v>36</v>
      </c>
      <c r="C19" s="6" t="s">
        <v>36</v>
      </c>
      <c r="D19" s="6" t="s">
        <v>36</v>
      </c>
      <c r="E19" s="6" t="s">
        <v>53</v>
      </c>
      <c r="F19" s="6" t="s">
        <v>53</v>
      </c>
      <c r="G19" s="6" t="s">
        <v>53</v>
      </c>
      <c r="H19" s="6" t="s">
        <v>191</v>
      </c>
      <c r="I19" s="6" t="s">
        <v>191</v>
      </c>
      <c r="J19" s="6" t="s">
        <v>191</v>
      </c>
      <c r="K19" s="6" t="s">
        <v>199</v>
      </c>
      <c r="L19" s="6" t="s">
        <v>199</v>
      </c>
      <c r="M19" s="6" t="s">
        <v>199</v>
      </c>
    </row>
    <row r="21" spans="1:13" ht="30" x14ac:dyDescent="0.25">
      <c r="A21" s="3" t="s">
        <v>38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E320-C316-40D3-A4D1-BEBF6398EB26}">
  <dimension ref="A1:N29"/>
  <sheetViews>
    <sheetView workbookViewId="0">
      <selection sqref="A1:XFD1048576"/>
    </sheetView>
  </sheetViews>
  <sheetFormatPr defaultRowHeight="15" x14ac:dyDescent="0.25"/>
  <sheetData>
    <row r="1" spans="1:14" x14ac:dyDescent="0.25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12</v>
      </c>
      <c r="B2" s="2">
        <v>4.7E-2</v>
      </c>
      <c r="C2" s="2">
        <v>0.05</v>
      </c>
      <c r="D2" s="2">
        <v>5.1999999999999998E-2</v>
      </c>
      <c r="E2" s="2">
        <v>5.3999999999999999E-2</v>
      </c>
      <c r="F2" s="2">
        <v>5.2999999999999999E-2</v>
      </c>
      <c r="G2" s="2">
        <v>5.7000000000000002E-2</v>
      </c>
      <c r="H2" s="2">
        <v>8.5000000000000006E-2</v>
      </c>
      <c r="I2" s="2">
        <v>8.5000000000000006E-2</v>
      </c>
      <c r="J2" s="2">
        <v>8.3000000000000004E-2</v>
      </c>
      <c r="K2" s="2">
        <v>6.0999999999999999E-2</v>
      </c>
      <c r="L2" s="2">
        <v>6.2E-2</v>
      </c>
      <c r="M2" s="2">
        <v>0.06</v>
      </c>
      <c r="N2" s="5">
        <v>670</v>
      </c>
    </row>
    <row r="3" spans="1:14" x14ac:dyDescent="0.25">
      <c r="A3" s="4" t="s">
        <v>13</v>
      </c>
      <c r="B3" s="2">
        <v>0.13600000000000001</v>
      </c>
      <c r="C3" s="2">
        <v>0.13400000000000001</v>
      </c>
      <c r="D3" s="2">
        <v>0.14000000000000001</v>
      </c>
      <c r="E3" s="2">
        <v>5.3999999999999999E-2</v>
      </c>
      <c r="F3" s="2">
        <v>4.8000000000000001E-2</v>
      </c>
      <c r="G3" s="2">
        <v>5.2999999999999999E-2</v>
      </c>
      <c r="H3" s="2">
        <v>5.6000000000000001E-2</v>
      </c>
      <c r="I3" s="2">
        <v>5.3999999999999999E-2</v>
      </c>
      <c r="J3" s="2">
        <v>5.1999999999999998E-2</v>
      </c>
      <c r="K3" s="2">
        <v>5.0999999999999997E-2</v>
      </c>
      <c r="L3" s="2">
        <v>5.0999999999999997E-2</v>
      </c>
      <c r="M3" s="2">
        <v>5.1999999999999998E-2</v>
      </c>
      <c r="N3" s="5">
        <v>670</v>
      </c>
    </row>
    <row r="4" spans="1:14" x14ac:dyDescent="0.25">
      <c r="A4" s="4" t="s">
        <v>14</v>
      </c>
      <c r="B4" s="2">
        <v>0.28199999999999997</v>
      </c>
      <c r="C4" s="2">
        <v>0.27300000000000002</v>
      </c>
      <c r="D4" s="2">
        <v>0.24099999999999999</v>
      </c>
      <c r="E4" s="2">
        <v>5.7000000000000002E-2</v>
      </c>
      <c r="F4" s="2">
        <v>5.8000000000000003E-2</v>
      </c>
      <c r="G4" s="2">
        <v>5.7000000000000002E-2</v>
      </c>
      <c r="H4" s="2">
        <v>2.1509999999999998</v>
      </c>
      <c r="I4" s="2">
        <v>2.0030000000000001</v>
      </c>
      <c r="J4" s="2">
        <v>2.0190000000000001</v>
      </c>
      <c r="K4" s="2">
        <v>0.151</v>
      </c>
      <c r="L4" s="2">
        <v>0.14299999999999999</v>
      </c>
      <c r="M4" s="2">
        <v>0.14899999999999999</v>
      </c>
      <c r="N4" s="5">
        <v>670</v>
      </c>
    </row>
    <row r="5" spans="1:14" x14ac:dyDescent="0.25">
      <c r="A5" s="4" t="s">
        <v>15</v>
      </c>
      <c r="B5" s="2">
        <v>0.47199999999999998</v>
      </c>
      <c r="C5" s="2">
        <v>0.5</v>
      </c>
      <c r="D5" s="2">
        <v>0.42599999999999999</v>
      </c>
      <c r="E5" s="2">
        <v>0.22800000000000001</v>
      </c>
      <c r="F5" s="2">
        <v>0.22700000000000001</v>
      </c>
      <c r="G5" s="2">
        <v>0.21</v>
      </c>
      <c r="H5" s="2">
        <v>0.44</v>
      </c>
      <c r="I5" s="2">
        <v>0.504</v>
      </c>
      <c r="J5" s="2">
        <v>0.48699999999999999</v>
      </c>
      <c r="K5" s="2">
        <v>0.13300000000000001</v>
      </c>
      <c r="L5" s="2">
        <v>0.13300000000000001</v>
      </c>
      <c r="M5" s="2">
        <v>0.13900000000000001</v>
      </c>
      <c r="N5" s="5">
        <v>670</v>
      </c>
    </row>
    <row r="6" spans="1:14" x14ac:dyDescent="0.25">
      <c r="A6" s="4" t="s">
        <v>16</v>
      </c>
      <c r="B6" s="2">
        <v>0.88100000000000001</v>
      </c>
      <c r="C6" s="2">
        <v>0.83299999999999996</v>
      </c>
      <c r="D6" s="2">
        <v>0.83099999999999996</v>
      </c>
      <c r="E6" s="2">
        <v>7.3999999999999996E-2</v>
      </c>
      <c r="F6" s="2">
        <v>5.8999999999999997E-2</v>
      </c>
      <c r="G6" s="2">
        <v>5.6000000000000001E-2</v>
      </c>
      <c r="H6" s="2">
        <v>5.6000000000000001E-2</v>
      </c>
      <c r="I6" s="2">
        <v>5.5E-2</v>
      </c>
      <c r="J6" s="2">
        <v>5.3999999999999999E-2</v>
      </c>
      <c r="K6" s="2">
        <v>5.6000000000000001E-2</v>
      </c>
      <c r="L6" s="2">
        <v>5.6000000000000001E-2</v>
      </c>
      <c r="M6" s="2">
        <v>5.5E-2</v>
      </c>
      <c r="N6" s="5">
        <v>670</v>
      </c>
    </row>
    <row r="7" spans="1:14" x14ac:dyDescent="0.25">
      <c r="A7" s="4" t="s">
        <v>17</v>
      </c>
      <c r="B7" s="2">
        <v>1.4239999999999999</v>
      </c>
      <c r="C7" s="2">
        <v>1.335</v>
      </c>
      <c r="D7" s="2">
        <v>1.3859999999999999</v>
      </c>
      <c r="E7" s="2">
        <v>9.9000000000000005E-2</v>
      </c>
      <c r="F7" s="2">
        <v>9.9000000000000005E-2</v>
      </c>
      <c r="G7" s="2">
        <v>9.7000000000000003E-2</v>
      </c>
      <c r="H7" s="2">
        <v>5.5E-2</v>
      </c>
      <c r="I7" s="2">
        <v>5.6000000000000001E-2</v>
      </c>
      <c r="J7" s="2">
        <v>5.8999999999999997E-2</v>
      </c>
      <c r="K7" s="2">
        <v>9.9000000000000005E-2</v>
      </c>
      <c r="L7" s="2">
        <v>9.8000000000000004E-2</v>
      </c>
      <c r="M7" s="2">
        <v>9.7000000000000003E-2</v>
      </c>
      <c r="N7" s="5">
        <v>670</v>
      </c>
    </row>
    <row r="8" spans="1:14" x14ac:dyDescent="0.25">
      <c r="A8" s="4" t="s">
        <v>18</v>
      </c>
      <c r="B8" s="2">
        <v>1.4019999999999999</v>
      </c>
      <c r="C8" s="2">
        <v>1.3089999999999999</v>
      </c>
      <c r="D8" s="2">
        <v>1.2969999999999999</v>
      </c>
      <c r="E8" s="2">
        <v>0.54100000000000004</v>
      </c>
      <c r="F8" s="2">
        <v>0.52600000000000002</v>
      </c>
      <c r="G8" s="2">
        <v>0.56499999999999995</v>
      </c>
      <c r="H8" s="2">
        <v>0.54600000000000004</v>
      </c>
      <c r="I8" s="2">
        <v>0.49399999999999999</v>
      </c>
      <c r="J8" s="2">
        <v>0.47699999999999998</v>
      </c>
      <c r="K8" s="2">
        <v>0.10199999999999999</v>
      </c>
      <c r="L8" s="2">
        <v>0.10199999999999999</v>
      </c>
      <c r="M8" s="2">
        <v>0.10199999999999999</v>
      </c>
      <c r="N8" s="5">
        <v>670</v>
      </c>
    </row>
    <row r="9" spans="1:14" x14ac:dyDescent="0.25">
      <c r="A9" s="4" t="s">
        <v>19</v>
      </c>
      <c r="B9" s="2">
        <v>1.56</v>
      </c>
      <c r="C9" s="2">
        <v>1.375</v>
      </c>
      <c r="D9" s="2">
        <v>1.3069999999999999</v>
      </c>
      <c r="E9" s="2">
        <v>0.188</v>
      </c>
      <c r="F9" s="2">
        <v>0.193</v>
      </c>
      <c r="G9" s="2">
        <v>0.186</v>
      </c>
      <c r="H9" s="2">
        <v>0.76400000000000001</v>
      </c>
      <c r="I9" s="2">
        <v>0.8</v>
      </c>
      <c r="J9" s="2">
        <v>0.78200000000000003</v>
      </c>
      <c r="K9" s="2">
        <v>6.8000000000000005E-2</v>
      </c>
      <c r="L9" s="2">
        <v>7.0000000000000007E-2</v>
      </c>
      <c r="M9" s="2">
        <v>6.7000000000000004E-2</v>
      </c>
      <c r="N9" s="5">
        <v>670</v>
      </c>
    </row>
    <row r="11" spans="1:14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12</v>
      </c>
      <c r="B12" s="6" t="s">
        <v>21</v>
      </c>
      <c r="C12" s="6" t="s">
        <v>21</v>
      </c>
      <c r="D12" s="6" t="s">
        <v>21</v>
      </c>
      <c r="E12" s="6" t="s">
        <v>60</v>
      </c>
      <c r="F12" s="6"/>
      <c r="G12" s="6"/>
      <c r="H12" s="6" t="s">
        <v>68</v>
      </c>
      <c r="I12" s="6"/>
      <c r="J12" s="6"/>
      <c r="K12" s="6" t="s">
        <v>205</v>
      </c>
      <c r="L12" s="6"/>
      <c r="M12" s="6"/>
    </row>
    <row r="13" spans="1:14" x14ac:dyDescent="0.25">
      <c r="A13" s="4" t="s">
        <v>13</v>
      </c>
      <c r="B13" s="6" t="s">
        <v>23</v>
      </c>
      <c r="C13" s="6" t="s">
        <v>23</v>
      </c>
      <c r="D13" s="6" t="s">
        <v>23</v>
      </c>
      <c r="E13" s="6" t="s">
        <v>63</v>
      </c>
      <c r="F13" s="6"/>
      <c r="G13" s="6"/>
      <c r="H13" s="6" t="s">
        <v>70</v>
      </c>
      <c r="I13" s="6"/>
      <c r="J13" s="6"/>
      <c r="K13" s="6" t="s">
        <v>206</v>
      </c>
      <c r="L13" s="6"/>
      <c r="M13" s="6"/>
    </row>
    <row r="14" spans="1:14" x14ac:dyDescent="0.25">
      <c r="A14" s="4" t="s">
        <v>14</v>
      </c>
      <c r="B14" s="6" t="s">
        <v>25</v>
      </c>
      <c r="C14" s="6" t="s">
        <v>25</v>
      </c>
      <c r="D14" s="6" t="s">
        <v>25</v>
      </c>
      <c r="E14" s="6" t="s">
        <v>64</v>
      </c>
      <c r="F14" s="6"/>
      <c r="G14" s="6"/>
      <c r="H14" s="6" t="s">
        <v>200</v>
      </c>
      <c r="I14" s="6"/>
      <c r="J14" s="6"/>
      <c r="K14" s="6" t="s">
        <v>207</v>
      </c>
      <c r="L14" s="6"/>
      <c r="M14" s="6"/>
    </row>
    <row r="15" spans="1:14" x14ac:dyDescent="0.25">
      <c r="A15" s="4" t="s">
        <v>15</v>
      </c>
      <c r="B15" s="6" t="s">
        <v>27</v>
      </c>
      <c r="C15" s="6" t="s">
        <v>27</v>
      </c>
      <c r="D15" s="6" t="s">
        <v>27</v>
      </c>
      <c r="E15" s="6" t="s">
        <v>61</v>
      </c>
      <c r="F15" s="6"/>
      <c r="G15" s="6"/>
      <c r="H15" s="6" t="s">
        <v>69</v>
      </c>
      <c r="I15" s="6"/>
      <c r="J15" s="6"/>
      <c r="K15" s="6" t="s">
        <v>208</v>
      </c>
      <c r="L15" s="6"/>
      <c r="M15" s="6"/>
    </row>
    <row r="16" spans="1:14" x14ac:dyDescent="0.25">
      <c r="A16" s="4" t="s">
        <v>16</v>
      </c>
      <c r="B16" s="6" t="s">
        <v>30</v>
      </c>
      <c r="C16" s="6" t="s">
        <v>30</v>
      </c>
      <c r="D16" s="6" t="s">
        <v>30</v>
      </c>
      <c r="E16" s="6" t="s">
        <v>65</v>
      </c>
      <c r="F16" s="6"/>
      <c r="G16" s="6"/>
      <c r="H16" s="6" t="s">
        <v>201</v>
      </c>
      <c r="I16" s="6"/>
      <c r="J16" s="6"/>
      <c r="K16" s="6" t="s">
        <v>209</v>
      </c>
      <c r="L16" s="6"/>
      <c r="M16" s="6"/>
    </row>
    <row r="17" spans="1:13" x14ac:dyDescent="0.25">
      <c r="A17" s="4" t="s">
        <v>17</v>
      </c>
      <c r="B17" s="6" t="s">
        <v>33</v>
      </c>
      <c r="C17" s="6" t="s">
        <v>33</v>
      </c>
      <c r="D17" s="6" t="s">
        <v>33</v>
      </c>
      <c r="E17" s="6" t="s">
        <v>62</v>
      </c>
      <c r="F17" s="6"/>
      <c r="G17" s="6"/>
      <c r="H17" s="6" t="s">
        <v>202</v>
      </c>
      <c r="I17" s="6"/>
      <c r="J17" s="6"/>
      <c r="K17" s="6" t="s">
        <v>210</v>
      </c>
      <c r="L17" s="6"/>
      <c r="M17" s="6"/>
    </row>
    <row r="18" spans="1:13" x14ac:dyDescent="0.25">
      <c r="A18" s="4" t="s">
        <v>18</v>
      </c>
      <c r="B18" s="6" t="s">
        <v>35</v>
      </c>
      <c r="C18" s="6" t="s">
        <v>35</v>
      </c>
      <c r="D18" s="6" t="s">
        <v>35</v>
      </c>
      <c r="E18" s="6" t="s">
        <v>66</v>
      </c>
      <c r="F18" s="6"/>
      <c r="G18" s="6"/>
      <c r="H18" s="6" t="s">
        <v>203</v>
      </c>
      <c r="I18" s="6"/>
      <c r="J18" s="6"/>
      <c r="K18" s="6" t="s">
        <v>211</v>
      </c>
      <c r="L18" s="6"/>
      <c r="M18" s="6"/>
    </row>
    <row r="19" spans="1:13" x14ac:dyDescent="0.25">
      <c r="A19" s="4" t="s">
        <v>19</v>
      </c>
      <c r="B19" s="6" t="s">
        <v>36</v>
      </c>
      <c r="C19" s="6" t="s">
        <v>36</v>
      </c>
      <c r="D19" s="6" t="s">
        <v>36</v>
      </c>
      <c r="E19" s="6" t="s">
        <v>67</v>
      </c>
      <c r="F19" s="6"/>
      <c r="G19" s="6"/>
      <c r="H19" s="6" t="s">
        <v>204</v>
      </c>
      <c r="I19" s="6"/>
      <c r="J19" s="6"/>
      <c r="K19" s="6" t="s">
        <v>212</v>
      </c>
      <c r="L19" s="6"/>
      <c r="M19" s="6"/>
    </row>
    <row r="21" spans="1:13" ht="30" x14ac:dyDescent="0.25">
      <c r="A21" s="3" t="s">
        <v>38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A3031-DFC6-41EB-AAA2-1E37FED54A2C}">
  <dimension ref="A1:N29"/>
  <sheetViews>
    <sheetView workbookViewId="0">
      <selection sqref="A1:XFD1048576"/>
    </sheetView>
  </sheetViews>
  <sheetFormatPr defaultRowHeight="15" x14ac:dyDescent="0.25"/>
  <sheetData>
    <row r="1" spans="1:14" x14ac:dyDescent="0.25">
      <c r="A1" s="3" t="s">
        <v>3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12</v>
      </c>
      <c r="B2" s="2">
        <v>5.0999999999999997E-2</v>
      </c>
      <c r="C2" s="2">
        <v>5.2999999999999999E-2</v>
      </c>
      <c r="D2" s="2">
        <v>0.05</v>
      </c>
      <c r="E2" s="2">
        <v>0.10100000000000001</v>
      </c>
      <c r="F2" s="2">
        <v>0.10199999999999999</v>
      </c>
      <c r="G2" s="2">
        <v>0.1</v>
      </c>
      <c r="H2" s="2">
        <v>5.1999999999999998E-2</v>
      </c>
      <c r="I2" s="2">
        <v>5.5E-2</v>
      </c>
      <c r="J2" s="2">
        <v>5.5E-2</v>
      </c>
      <c r="K2" s="2">
        <v>0.57899999999999996</v>
      </c>
      <c r="L2" s="2">
        <v>0.60899999999999999</v>
      </c>
      <c r="M2" s="2">
        <v>0.52900000000000003</v>
      </c>
      <c r="N2" s="5">
        <v>670</v>
      </c>
    </row>
    <row r="3" spans="1:14" x14ac:dyDescent="0.25">
      <c r="A3" s="4" t="s">
        <v>13</v>
      </c>
      <c r="B3" s="2">
        <v>0.14899999999999999</v>
      </c>
      <c r="C3" s="2">
        <v>0.13100000000000001</v>
      </c>
      <c r="D3" s="2">
        <v>0.13300000000000001</v>
      </c>
      <c r="E3" s="2">
        <v>5.8999999999999997E-2</v>
      </c>
      <c r="F3" s="2">
        <v>0.05</v>
      </c>
      <c r="G3" s="2">
        <v>0.05</v>
      </c>
      <c r="H3" s="2">
        <v>5.8000000000000003E-2</v>
      </c>
      <c r="I3" s="2">
        <v>5.7000000000000002E-2</v>
      </c>
      <c r="J3" s="2">
        <v>5.3999999999999999E-2</v>
      </c>
      <c r="K3" s="2">
        <v>1.452</v>
      </c>
      <c r="L3" s="2">
        <v>1.2090000000000001</v>
      </c>
      <c r="M3" s="2">
        <v>1.1279999999999999</v>
      </c>
      <c r="N3" s="5">
        <v>670</v>
      </c>
    </row>
    <row r="4" spans="1:14" x14ac:dyDescent="0.25">
      <c r="A4" s="4" t="s">
        <v>14</v>
      </c>
      <c r="B4" s="2">
        <v>0.26400000000000001</v>
      </c>
      <c r="C4" s="2">
        <v>0.27300000000000002</v>
      </c>
      <c r="D4" s="2">
        <v>0.317</v>
      </c>
      <c r="E4" s="2">
        <v>5.7000000000000002E-2</v>
      </c>
      <c r="F4" s="2">
        <v>0.05</v>
      </c>
      <c r="G4" s="2">
        <v>4.9000000000000002E-2</v>
      </c>
      <c r="H4" s="2">
        <v>5.2999999999999999E-2</v>
      </c>
      <c r="I4" s="2">
        <v>5.1999999999999998E-2</v>
      </c>
      <c r="J4" s="2">
        <v>5.2999999999999999E-2</v>
      </c>
      <c r="K4" s="2">
        <v>1.153</v>
      </c>
      <c r="L4" s="2">
        <v>0.99199999999999999</v>
      </c>
      <c r="M4" s="2">
        <v>0.999</v>
      </c>
      <c r="N4" s="5">
        <v>670</v>
      </c>
    </row>
    <row r="5" spans="1:14" x14ac:dyDescent="0.25">
      <c r="A5" s="4" t="s">
        <v>15</v>
      </c>
      <c r="B5" s="2">
        <v>0.48499999999999999</v>
      </c>
      <c r="C5" s="2">
        <v>0.46700000000000003</v>
      </c>
      <c r="D5" s="2">
        <v>0.45300000000000001</v>
      </c>
      <c r="E5" s="2">
        <v>4.8000000000000001E-2</v>
      </c>
      <c r="F5" s="2">
        <v>0.05</v>
      </c>
      <c r="G5" s="2">
        <v>0.05</v>
      </c>
      <c r="H5" s="2">
        <v>5.6000000000000001E-2</v>
      </c>
      <c r="I5" s="2">
        <v>5.6000000000000001E-2</v>
      </c>
      <c r="J5" s="2">
        <v>5.6000000000000001E-2</v>
      </c>
      <c r="K5" s="2">
        <v>1.155</v>
      </c>
      <c r="L5" s="2">
        <v>0.83499999999999996</v>
      </c>
      <c r="M5" s="2">
        <v>1.232</v>
      </c>
      <c r="N5" s="5">
        <v>670</v>
      </c>
    </row>
    <row r="6" spans="1:14" x14ac:dyDescent="0.25">
      <c r="A6" s="4" t="s">
        <v>16</v>
      </c>
      <c r="B6" s="2">
        <v>0.88900000000000001</v>
      </c>
      <c r="C6" s="2">
        <v>0.872</v>
      </c>
      <c r="D6" s="2">
        <v>0.83299999999999996</v>
      </c>
      <c r="E6" s="2">
        <v>5.8999999999999997E-2</v>
      </c>
      <c r="F6" s="2">
        <v>5.2999999999999999E-2</v>
      </c>
      <c r="G6" s="2">
        <v>5.1999999999999998E-2</v>
      </c>
      <c r="H6" s="2">
        <v>0.26200000000000001</v>
      </c>
      <c r="I6" s="2">
        <v>0.23699999999999999</v>
      </c>
      <c r="J6" s="2">
        <v>0.246</v>
      </c>
      <c r="K6" s="2">
        <v>0.51100000000000001</v>
      </c>
      <c r="L6" s="2">
        <v>0.40799999999999997</v>
      </c>
      <c r="M6" s="2">
        <v>0.45600000000000002</v>
      </c>
      <c r="N6" s="5">
        <v>670</v>
      </c>
    </row>
    <row r="7" spans="1:14" x14ac:dyDescent="0.25">
      <c r="A7" s="4" t="s">
        <v>17</v>
      </c>
      <c r="B7" s="2">
        <v>1.5209999999999999</v>
      </c>
      <c r="C7" s="2">
        <v>1.3620000000000001</v>
      </c>
      <c r="D7" s="2">
        <v>1.2949999999999999</v>
      </c>
      <c r="E7" s="2">
        <v>5.5E-2</v>
      </c>
      <c r="F7" s="2">
        <v>5.7000000000000002E-2</v>
      </c>
      <c r="G7" s="2">
        <v>5.6000000000000001E-2</v>
      </c>
      <c r="H7" s="2">
        <v>0.25700000000000001</v>
      </c>
      <c r="I7" s="2">
        <v>0.251</v>
      </c>
      <c r="J7" s="2">
        <v>0.23899999999999999</v>
      </c>
      <c r="K7" s="2">
        <v>1.24</v>
      </c>
      <c r="L7" s="2">
        <v>1.17</v>
      </c>
      <c r="M7" s="2">
        <v>1.1299999999999999</v>
      </c>
      <c r="N7" s="5">
        <v>670</v>
      </c>
    </row>
    <row r="8" spans="1:14" x14ac:dyDescent="0.25">
      <c r="A8" s="4" t="s">
        <v>18</v>
      </c>
      <c r="B8" s="2">
        <v>0.91</v>
      </c>
      <c r="C8" s="2">
        <v>1.19</v>
      </c>
      <c r="D8" s="2">
        <v>1.1970000000000001</v>
      </c>
      <c r="E8" s="2">
        <v>5.2999999999999999E-2</v>
      </c>
      <c r="F8" s="2">
        <v>5.1999999999999998E-2</v>
      </c>
      <c r="G8" s="2">
        <v>5.1999999999999998E-2</v>
      </c>
      <c r="H8" s="2">
        <v>0.97199999999999998</v>
      </c>
      <c r="I8" s="2">
        <v>0.82699999999999996</v>
      </c>
      <c r="J8" s="2">
        <v>0.77</v>
      </c>
      <c r="K8" s="2">
        <v>0.27500000000000002</v>
      </c>
      <c r="L8" s="2">
        <v>0.23100000000000001</v>
      </c>
      <c r="M8" s="2">
        <v>0.23899999999999999</v>
      </c>
      <c r="N8" s="5">
        <v>670</v>
      </c>
    </row>
    <row r="9" spans="1:14" x14ac:dyDescent="0.25">
      <c r="A9" s="4" t="s">
        <v>19</v>
      </c>
      <c r="B9" s="2">
        <v>0.88700000000000001</v>
      </c>
      <c r="C9" s="2">
        <v>1.333</v>
      </c>
      <c r="D9" s="2">
        <v>1.2789999999999999</v>
      </c>
      <c r="E9" s="2">
        <v>5.6000000000000001E-2</v>
      </c>
      <c r="F9" s="2">
        <v>5.1999999999999998E-2</v>
      </c>
      <c r="G9" s="2">
        <v>5.0999999999999997E-2</v>
      </c>
      <c r="H9" s="2">
        <v>1.1519999999999999</v>
      </c>
      <c r="I9" s="2">
        <v>1.038</v>
      </c>
      <c r="J9" s="2">
        <v>1.0549999999999999</v>
      </c>
      <c r="K9" s="2">
        <v>0.20399999999999999</v>
      </c>
      <c r="L9" s="2">
        <v>0.20300000000000001</v>
      </c>
      <c r="M9" s="2">
        <v>0.17799999999999999</v>
      </c>
      <c r="N9" s="5">
        <v>670</v>
      </c>
    </row>
    <row r="11" spans="1:14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12</v>
      </c>
      <c r="B12" s="6" t="s">
        <v>21</v>
      </c>
      <c r="C12" s="6" t="s">
        <v>21</v>
      </c>
      <c r="D12" s="6" t="s">
        <v>21</v>
      </c>
      <c r="E12" s="6" t="s">
        <v>72</v>
      </c>
      <c r="F12" s="6" t="s">
        <v>72</v>
      </c>
      <c r="G12" s="6" t="s">
        <v>72</v>
      </c>
      <c r="H12" s="6" t="s">
        <v>80</v>
      </c>
      <c r="I12" s="6" t="s">
        <v>80</v>
      </c>
      <c r="J12" s="6" t="s">
        <v>80</v>
      </c>
      <c r="K12" s="6" t="s">
        <v>218</v>
      </c>
      <c r="L12" s="6" t="s">
        <v>218</v>
      </c>
      <c r="M12" s="6" t="s">
        <v>218</v>
      </c>
    </row>
    <row r="13" spans="1:14" x14ac:dyDescent="0.25">
      <c r="A13" s="4" t="s">
        <v>13</v>
      </c>
      <c r="B13" s="6" t="s">
        <v>23</v>
      </c>
      <c r="C13" s="6" t="s">
        <v>23</v>
      </c>
      <c r="D13" s="6" t="s">
        <v>23</v>
      </c>
      <c r="E13" s="6" t="s">
        <v>73</v>
      </c>
      <c r="F13" s="6" t="s">
        <v>73</v>
      </c>
      <c r="G13" s="6" t="s">
        <v>73</v>
      </c>
      <c r="H13" s="6" t="s">
        <v>81</v>
      </c>
      <c r="I13" s="6" t="s">
        <v>81</v>
      </c>
      <c r="J13" s="6" t="s">
        <v>81</v>
      </c>
      <c r="K13" s="6" t="s">
        <v>219</v>
      </c>
      <c r="L13" s="6" t="s">
        <v>219</v>
      </c>
      <c r="M13" s="6" t="s">
        <v>219</v>
      </c>
    </row>
    <row r="14" spans="1:14" x14ac:dyDescent="0.25">
      <c r="A14" s="4" t="s">
        <v>14</v>
      </c>
      <c r="B14" s="6" t="s">
        <v>25</v>
      </c>
      <c r="C14" s="6" t="s">
        <v>25</v>
      </c>
      <c r="D14" s="6" t="s">
        <v>25</v>
      </c>
      <c r="E14" s="6" t="s">
        <v>74</v>
      </c>
      <c r="F14" s="6" t="s">
        <v>74</v>
      </c>
      <c r="G14" s="6" t="s">
        <v>74</v>
      </c>
      <c r="H14" s="6" t="s">
        <v>82</v>
      </c>
      <c r="I14" s="6" t="s">
        <v>82</v>
      </c>
      <c r="J14" s="6" t="s">
        <v>82</v>
      </c>
      <c r="K14" s="6" t="s">
        <v>220</v>
      </c>
      <c r="L14" s="6" t="s">
        <v>220</v>
      </c>
      <c r="M14" s="6" t="s">
        <v>220</v>
      </c>
    </row>
    <row r="15" spans="1:14" x14ac:dyDescent="0.25">
      <c r="A15" s="4" t="s">
        <v>15</v>
      </c>
      <c r="B15" s="6" t="s">
        <v>27</v>
      </c>
      <c r="C15" s="6" t="s">
        <v>27</v>
      </c>
      <c r="D15" s="6" t="s">
        <v>27</v>
      </c>
      <c r="E15" s="6" t="s">
        <v>75</v>
      </c>
      <c r="F15" s="6" t="s">
        <v>75</v>
      </c>
      <c r="G15" s="6" t="s">
        <v>75</v>
      </c>
      <c r="H15" s="6" t="s">
        <v>83</v>
      </c>
      <c r="I15" s="6" t="s">
        <v>83</v>
      </c>
      <c r="J15" s="6" t="s">
        <v>83</v>
      </c>
      <c r="K15" s="6" t="s">
        <v>216</v>
      </c>
      <c r="L15" s="6" t="s">
        <v>216</v>
      </c>
      <c r="M15" s="6" t="s">
        <v>216</v>
      </c>
    </row>
    <row r="16" spans="1:14" x14ac:dyDescent="0.25">
      <c r="A16" s="4" t="s">
        <v>16</v>
      </c>
      <c r="B16" s="6" t="s">
        <v>30</v>
      </c>
      <c r="C16" s="6" t="s">
        <v>30</v>
      </c>
      <c r="D16" s="6" t="s">
        <v>30</v>
      </c>
      <c r="E16" s="6" t="s">
        <v>76</v>
      </c>
      <c r="F16" s="6" t="s">
        <v>76</v>
      </c>
      <c r="G16" s="6" t="s">
        <v>76</v>
      </c>
      <c r="H16" s="6" t="s">
        <v>84</v>
      </c>
      <c r="I16" s="6" t="s">
        <v>84</v>
      </c>
      <c r="J16" s="6" t="s">
        <v>84</v>
      </c>
      <c r="K16" s="6" t="s">
        <v>215</v>
      </c>
      <c r="L16" s="6" t="s">
        <v>215</v>
      </c>
      <c r="M16" s="6" t="s">
        <v>215</v>
      </c>
    </row>
    <row r="17" spans="1:13" x14ac:dyDescent="0.25">
      <c r="A17" s="4" t="s">
        <v>17</v>
      </c>
      <c r="B17" s="6" t="s">
        <v>33</v>
      </c>
      <c r="C17" s="6" t="s">
        <v>33</v>
      </c>
      <c r="D17" s="6" t="s">
        <v>33</v>
      </c>
      <c r="E17" s="6" t="s">
        <v>77</v>
      </c>
      <c r="F17" s="6" t="s">
        <v>77</v>
      </c>
      <c r="G17" s="6" t="s">
        <v>77</v>
      </c>
      <c r="H17" s="6" t="s">
        <v>213</v>
      </c>
      <c r="I17" s="6" t="s">
        <v>213</v>
      </c>
      <c r="J17" s="6" t="s">
        <v>213</v>
      </c>
      <c r="K17" s="6" t="s">
        <v>217</v>
      </c>
      <c r="L17" s="6" t="s">
        <v>217</v>
      </c>
      <c r="M17" s="6" t="s">
        <v>217</v>
      </c>
    </row>
    <row r="18" spans="1:13" x14ac:dyDescent="0.25">
      <c r="A18" s="4" t="s">
        <v>18</v>
      </c>
      <c r="B18" s="6" t="s">
        <v>35</v>
      </c>
      <c r="C18" s="6" t="s">
        <v>35</v>
      </c>
      <c r="D18" s="6" t="s">
        <v>35</v>
      </c>
      <c r="E18" s="6" t="s">
        <v>78</v>
      </c>
      <c r="F18" s="6" t="s">
        <v>78</v>
      </c>
      <c r="G18" s="6" t="s">
        <v>78</v>
      </c>
      <c r="H18" s="6" t="s">
        <v>85</v>
      </c>
      <c r="I18" s="6" t="s">
        <v>85</v>
      </c>
      <c r="J18" s="6" t="s">
        <v>85</v>
      </c>
      <c r="K18" s="7" t="s">
        <v>50</v>
      </c>
      <c r="L18" s="7" t="s">
        <v>50</v>
      </c>
      <c r="M18" s="7" t="s">
        <v>50</v>
      </c>
    </row>
    <row r="19" spans="1:13" x14ac:dyDescent="0.25">
      <c r="A19" s="4" t="s">
        <v>19</v>
      </c>
      <c r="B19" s="6" t="s">
        <v>36</v>
      </c>
      <c r="C19" s="6" t="s">
        <v>36</v>
      </c>
      <c r="D19" s="6" t="s">
        <v>36</v>
      </c>
      <c r="E19" s="6" t="s">
        <v>79</v>
      </c>
      <c r="F19" s="6" t="s">
        <v>79</v>
      </c>
      <c r="G19" s="6" t="s">
        <v>79</v>
      </c>
      <c r="H19" s="6" t="s">
        <v>214</v>
      </c>
      <c r="I19" s="6" t="s">
        <v>214</v>
      </c>
      <c r="J19" s="6" t="s">
        <v>214</v>
      </c>
      <c r="K19" s="6" t="s">
        <v>52</v>
      </c>
      <c r="L19" s="6" t="s">
        <v>52</v>
      </c>
      <c r="M19" s="6" t="s">
        <v>52</v>
      </c>
    </row>
    <row r="21" spans="1:13" ht="30" x14ac:dyDescent="0.25">
      <c r="A21" s="3" t="s">
        <v>38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25</v>
      </c>
      <c r="L22" s="2">
        <v>25</v>
      </c>
      <c r="M22" s="2">
        <v>25</v>
      </c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25</v>
      </c>
      <c r="L23" s="2">
        <v>25</v>
      </c>
      <c r="M23" s="2">
        <v>25</v>
      </c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25</v>
      </c>
      <c r="L24" s="2">
        <v>25</v>
      </c>
      <c r="M24" s="2">
        <v>25</v>
      </c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25</v>
      </c>
      <c r="L25" s="2">
        <v>25</v>
      </c>
      <c r="M25" s="2">
        <v>25</v>
      </c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25</v>
      </c>
      <c r="I26" s="2">
        <v>25</v>
      </c>
      <c r="J26" s="2">
        <v>25</v>
      </c>
      <c r="K26" s="2">
        <v>25</v>
      </c>
      <c r="L26" s="2">
        <v>25</v>
      </c>
      <c r="M26" s="2">
        <v>25</v>
      </c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25</v>
      </c>
      <c r="I27" s="2">
        <v>25</v>
      </c>
      <c r="J27" s="2">
        <v>25</v>
      </c>
      <c r="K27" s="2">
        <v>25</v>
      </c>
      <c r="L27" s="2">
        <v>25</v>
      </c>
      <c r="M27" s="2">
        <v>25</v>
      </c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25</v>
      </c>
      <c r="I28" s="2">
        <v>25</v>
      </c>
      <c r="J28" s="2">
        <v>25</v>
      </c>
      <c r="K28" s="2">
        <v>25</v>
      </c>
      <c r="L28" s="2">
        <v>25</v>
      </c>
      <c r="M28" s="2">
        <v>25</v>
      </c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25</v>
      </c>
      <c r="I29" s="2">
        <v>25</v>
      </c>
      <c r="J29" s="2">
        <v>25</v>
      </c>
      <c r="K29" s="2">
        <v>25</v>
      </c>
      <c r="L29" s="2">
        <v>25</v>
      </c>
      <c r="M29" s="2">
        <v>25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9351-6912-4B6F-8BE8-47514715F99A}">
  <dimension ref="A1:N29"/>
  <sheetViews>
    <sheetView workbookViewId="0">
      <selection sqref="A1:XFD1048576"/>
    </sheetView>
  </sheetViews>
  <sheetFormatPr defaultRowHeight="15" x14ac:dyDescent="0.25"/>
  <sheetData>
    <row r="1" spans="1:14" x14ac:dyDescent="0.25">
      <c r="A1" s="3" t="s">
        <v>3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12</v>
      </c>
      <c r="B2" s="2">
        <v>5.0999999999999997E-2</v>
      </c>
      <c r="C2" s="2">
        <v>5.3999999999999999E-2</v>
      </c>
      <c r="D2" s="2">
        <v>4.9000000000000002E-2</v>
      </c>
      <c r="E2" s="2">
        <v>5.7000000000000002E-2</v>
      </c>
      <c r="F2" s="2">
        <v>5.1999999999999998E-2</v>
      </c>
      <c r="G2" s="2">
        <v>5.3999999999999999E-2</v>
      </c>
      <c r="H2" s="2">
        <v>7.1999999999999995E-2</v>
      </c>
      <c r="I2" s="2">
        <v>7.1999999999999995E-2</v>
      </c>
      <c r="J2" s="2">
        <v>5.7000000000000002E-2</v>
      </c>
      <c r="K2" s="2">
        <v>0.42699999999999999</v>
      </c>
      <c r="L2" s="2">
        <v>0.36899999999999999</v>
      </c>
      <c r="M2" s="2">
        <v>0.36199999999999999</v>
      </c>
      <c r="N2" s="5">
        <v>670</v>
      </c>
    </row>
    <row r="3" spans="1:14" x14ac:dyDescent="0.25">
      <c r="A3" s="4" t="s">
        <v>13</v>
      </c>
      <c r="B3" s="2">
        <v>0.122</v>
      </c>
      <c r="C3" s="2">
        <v>0.127</v>
      </c>
      <c r="D3" s="2">
        <v>0.13200000000000001</v>
      </c>
      <c r="E3" s="2">
        <v>5.6000000000000001E-2</v>
      </c>
      <c r="F3" s="2">
        <v>5.0999999999999997E-2</v>
      </c>
      <c r="G3" s="2">
        <v>5.2999999999999999E-2</v>
      </c>
      <c r="H3" s="2">
        <v>0.16500000000000001</v>
      </c>
      <c r="I3" s="2">
        <v>0.16200000000000001</v>
      </c>
      <c r="J3" s="2">
        <v>0.13800000000000001</v>
      </c>
      <c r="K3" s="2">
        <v>0.14299999999999999</v>
      </c>
      <c r="L3" s="2">
        <v>0.14899999999999999</v>
      </c>
      <c r="M3" s="2">
        <v>0.128</v>
      </c>
      <c r="N3" s="5">
        <v>670</v>
      </c>
    </row>
    <row r="4" spans="1:14" x14ac:dyDescent="0.25">
      <c r="A4" s="4" t="s">
        <v>14</v>
      </c>
      <c r="B4" s="2">
        <v>0.307</v>
      </c>
      <c r="C4" s="2">
        <v>0.27700000000000002</v>
      </c>
      <c r="D4" s="2">
        <v>0.34399999999999997</v>
      </c>
      <c r="E4" s="2">
        <v>5.1999999999999998E-2</v>
      </c>
      <c r="F4" s="2">
        <v>5.0999999999999997E-2</v>
      </c>
      <c r="G4" s="2">
        <v>5.1999999999999998E-2</v>
      </c>
      <c r="H4" s="2">
        <v>0.441</v>
      </c>
      <c r="I4" s="2">
        <v>0.499</v>
      </c>
      <c r="J4" s="2">
        <v>0.38300000000000001</v>
      </c>
      <c r="K4" s="2">
        <v>1.0569999999999999</v>
      </c>
      <c r="L4" s="2">
        <v>0.88800000000000001</v>
      </c>
      <c r="M4" s="2">
        <v>0.85599999999999998</v>
      </c>
      <c r="N4" s="5">
        <v>670</v>
      </c>
    </row>
    <row r="5" spans="1:14" x14ac:dyDescent="0.25">
      <c r="A5" s="4" t="s">
        <v>15</v>
      </c>
      <c r="B5" s="2">
        <v>0.497</v>
      </c>
      <c r="C5" s="2">
        <v>0.50800000000000001</v>
      </c>
      <c r="D5" s="2">
        <v>0.495</v>
      </c>
      <c r="E5" s="2">
        <v>5.0999999999999997E-2</v>
      </c>
      <c r="F5" s="2">
        <v>5.1999999999999998E-2</v>
      </c>
      <c r="G5" s="2">
        <v>5.1999999999999998E-2</v>
      </c>
      <c r="H5" s="2">
        <v>0.46700000000000003</v>
      </c>
      <c r="I5" s="2">
        <v>0.5</v>
      </c>
      <c r="J5" s="2">
        <v>0.40400000000000003</v>
      </c>
      <c r="K5" s="2">
        <v>0.13400000000000001</v>
      </c>
      <c r="L5" s="2">
        <v>0.107</v>
      </c>
      <c r="M5" s="2">
        <v>8.8999999999999996E-2</v>
      </c>
      <c r="N5" s="5">
        <v>670</v>
      </c>
    </row>
    <row r="6" spans="1:14" x14ac:dyDescent="0.25">
      <c r="A6" s="4" t="s">
        <v>16</v>
      </c>
      <c r="B6" s="2">
        <v>0.80600000000000005</v>
      </c>
      <c r="C6" s="2">
        <v>0.91900000000000004</v>
      </c>
      <c r="D6" s="2">
        <v>0.81100000000000005</v>
      </c>
      <c r="E6" s="2">
        <v>5.3999999999999999E-2</v>
      </c>
      <c r="F6" s="2">
        <v>5.2999999999999999E-2</v>
      </c>
      <c r="G6" s="2">
        <v>5.2999999999999999E-2</v>
      </c>
      <c r="H6" s="2">
        <v>0.504</v>
      </c>
      <c r="I6" s="2">
        <v>0.44400000000000001</v>
      </c>
      <c r="J6" s="2">
        <v>0.46400000000000002</v>
      </c>
      <c r="K6" s="2">
        <v>0.10199999999999999</v>
      </c>
      <c r="L6" s="2">
        <v>9.8000000000000004E-2</v>
      </c>
      <c r="M6" s="2">
        <v>8.6999999999999994E-2</v>
      </c>
      <c r="N6" s="5">
        <v>670</v>
      </c>
    </row>
    <row r="7" spans="1:14" x14ac:dyDescent="0.25">
      <c r="A7" s="4" t="s">
        <v>17</v>
      </c>
      <c r="B7" s="2">
        <v>1.32</v>
      </c>
      <c r="C7" s="2">
        <v>1.49</v>
      </c>
      <c r="D7" s="2">
        <v>1.31</v>
      </c>
      <c r="E7" s="2">
        <v>5.7000000000000002E-2</v>
      </c>
      <c r="F7" s="2">
        <v>7.0000000000000007E-2</v>
      </c>
      <c r="G7" s="2">
        <v>5.1999999999999998E-2</v>
      </c>
      <c r="H7" s="2">
        <v>0.6</v>
      </c>
      <c r="I7" s="2">
        <v>0.58499999999999996</v>
      </c>
      <c r="J7" s="2">
        <v>0.48299999999999998</v>
      </c>
      <c r="K7" s="2">
        <v>0.623</v>
      </c>
      <c r="L7" s="2">
        <v>4.4999999999999998E-2</v>
      </c>
      <c r="M7" s="2">
        <v>4.3999999999999997E-2</v>
      </c>
      <c r="N7" s="5">
        <v>670</v>
      </c>
    </row>
    <row r="8" spans="1:14" x14ac:dyDescent="0.25">
      <c r="A8" s="4" t="s">
        <v>18</v>
      </c>
      <c r="B8" s="2">
        <v>0.29699999999999999</v>
      </c>
      <c r="C8" s="2">
        <v>4.3999999999999997E-2</v>
      </c>
      <c r="D8" s="2">
        <v>4.3999999999999997E-2</v>
      </c>
      <c r="E8" s="2">
        <v>5.8000000000000003E-2</v>
      </c>
      <c r="F8" s="2">
        <v>5.2999999999999999E-2</v>
      </c>
      <c r="G8" s="2">
        <v>5.2999999999999999E-2</v>
      </c>
      <c r="H8" s="2">
        <v>1.1100000000000001</v>
      </c>
      <c r="I8" s="2">
        <v>0.93799999999999994</v>
      </c>
      <c r="J8" s="2">
        <v>0.96399999999999997</v>
      </c>
      <c r="K8" s="2">
        <v>4.4999999999999998E-2</v>
      </c>
      <c r="L8" s="2">
        <v>4.4999999999999998E-2</v>
      </c>
      <c r="M8" s="2">
        <v>4.3999999999999997E-2</v>
      </c>
      <c r="N8" s="5">
        <v>670</v>
      </c>
    </row>
    <row r="9" spans="1:14" x14ac:dyDescent="0.25">
      <c r="A9" s="4" t="s">
        <v>19</v>
      </c>
      <c r="B9" s="2">
        <v>4.5999999999999999E-2</v>
      </c>
      <c r="C9" s="2">
        <v>4.3999999999999997E-2</v>
      </c>
      <c r="D9" s="2">
        <v>4.4999999999999998E-2</v>
      </c>
      <c r="E9" s="2">
        <v>5.3999999999999999E-2</v>
      </c>
      <c r="F9" s="2">
        <v>5.0999999999999997E-2</v>
      </c>
      <c r="G9" s="2">
        <v>5.1999999999999998E-2</v>
      </c>
      <c r="H9" s="2">
        <v>1.3560000000000001</v>
      </c>
      <c r="I9" s="2">
        <v>1.177</v>
      </c>
      <c r="J9" s="2">
        <v>1.1080000000000001</v>
      </c>
      <c r="K9" s="2">
        <v>0.27</v>
      </c>
      <c r="L9" s="2">
        <v>0.24399999999999999</v>
      </c>
      <c r="M9" s="2">
        <v>0.26400000000000001</v>
      </c>
      <c r="N9" s="5">
        <v>670</v>
      </c>
    </row>
    <row r="11" spans="1:14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12</v>
      </c>
      <c r="B12" s="6" t="s">
        <v>21</v>
      </c>
      <c r="C12" s="6" t="s">
        <v>21</v>
      </c>
      <c r="D12" s="6" t="s">
        <v>21</v>
      </c>
      <c r="E12" s="6" t="s">
        <v>87</v>
      </c>
      <c r="F12" s="6" t="s">
        <v>87</v>
      </c>
      <c r="G12" s="6" t="s">
        <v>87</v>
      </c>
      <c r="H12" s="6" t="s">
        <v>118</v>
      </c>
      <c r="I12" s="6" t="s">
        <v>118</v>
      </c>
      <c r="J12" s="6" t="s">
        <v>118</v>
      </c>
      <c r="K12" s="6" t="s">
        <v>126</v>
      </c>
      <c r="L12" s="6" t="s">
        <v>126</v>
      </c>
      <c r="M12" s="6" t="s">
        <v>126</v>
      </c>
    </row>
    <row r="13" spans="1:14" x14ac:dyDescent="0.25">
      <c r="A13" s="4" t="s">
        <v>13</v>
      </c>
      <c r="B13" s="6" t="s">
        <v>23</v>
      </c>
      <c r="C13" s="6" t="s">
        <v>23</v>
      </c>
      <c r="D13" s="6" t="s">
        <v>23</v>
      </c>
      <c r="E13" s="6" t="s">
        <v>86</v>
      </c>
      <c r="F13" s="6" t="s">
        <v>86</v>
      </c>
      <c r="G13" s="6" t="s">
        <v>86</v>
      </c>
      <c r="H13" s="6" t="s">
        <v>119</v>
      </c>
      <c r="I13" s="6" t="s">
        <v>119</v>
      </c>
      <c r="J13" s="6" t="s">
        <v>119</v>
      </c>
      <c r="K13" s="6" t="s">
        <v>127</v>
      </c>
      <c r="L13" s="6" t="s">
        <v>127</v>
      </c>
      <c r="M13" s="6" t="s">
        <v>127</v>
      </c>
    </row>
    <row r="14" spans="1:14" x14ac:dyDescent="0.25">
      <c r="A14" s="4" t="s">
        <v>14</v>
      </c>
      <c r="B14" s="6" t="s">
        <v>25</v>
      </c>
      <c r="C14" s="6" t="s">
        <v>25</v>
      </c>
      <c r="D14" s="6" t="s">
        <v>25</v>
      </c>
      <c r="E14" s="6" t="s">
        <v>88</v>
      </c>
      <c r="F14" s="6" t="s">
        <v>88</v>
      </c>
      <c r="G14" s="6" t="s">
        <v>88</v>
      </c>
      <c r="H14" s="6" t="s">
        <v>120</v>
      </c>
      <c r="I14" s="6" t="s">
        <v>120</v>
      </c>
      <c r="J14" s="6" t="s">
        <v>120</v>
      </c>
      <c r="K14" s="6" t="s">
        <v>128</v>
      </c>
      <c r="L14" s="6" t="s">
        <v>128</v>
      </c>
      <c r="M14" s="6" t="s">
        <v>128</v>
      </c>
    </row>
    <row r="15" spans="1:14" x14ac:dyDescent="0.25">
      <c r="A15" s="4" t="s">
        <v>15</v>
      </c>
      <c r="B15" s="6" t="s">
        <v>27</v>
      </c>
      <c r="C15" s="6" t="s">
        <v>27</v>
      </c>
      <c r="D15" s="6" t="s">
        <v>27</v>
      </c>
      <c r="E15" s="6" t="s">
        <v>89</v>
      </c>
      <c r="F15" s="6" t="s">
        <v>89</v>
      </c>
      <c r="G15" s="6" t="s">
        <v>89</v>
      </c>
      <c r="H15" s="6" t="s">
        <v>121</v>
      </c>
      <c r="I15" s="6" t="s">
        <v>121</v>
      </c>
      <c r="J15" s="6" t="s">
        <v>121</v>
      </c>
      <c r="K15" s="6" t="s">
        <v>129</v>
      </c>
      <c r="L15" s="6" t="s">
        <v>129</v>
      </c>
      <c r="M15" s="6" t="s">
        <v>129</v>
      </c>
    </row>
    <row r="16" spans="1:14" x14ac:dyDescent="0.25">
      <c r="A16" s="4" t="s">
        <v>16</v>
      </c>
      <c r="B16" s="6" t="s">
        <v>30</v>
      </c>
      <c r="C16" s="6" t="s">
        <v>30</v>
      </c>
      <c r="D16" s="6" t="s">
        <v>30</v>
      </c>
      <c r="E16" s="6" t="s">
        <v>90</v>
      </c>
      <c r="F16" s="6" t="s">
        <v>90</v>
      </c>
      <c r="G16" s="6" t="s">
        <v>90</v>
      </c>
      <c r="H16" s="6" t="s">
        <v>122</v>
      </c>
      <c r="I16" s="6" t="s">
        <v>122</v>
      </c>
      <c r="J16" s="6" t="s">
        <v>122</v>
      </c>
      <c r="K16" s="6" t="s">
        <v>130</v>
      </c>
      <c r="L16" s="6" t="s">
        <v>130</v>
      </c>
      <c r="M16" s="6" t="s">
        <v>130</v>
      </c>
    </row>
    <row r="17" spans="1:13" x14ac:dyDescent="0.25">
      <c r="A17" s="4" t="s">
        <v>17</v>
      </c>
      <c r="B17" s="6" t="s">
        <v>33</v>
      </c>
      <c r="C17" s="6" t="s">
        <v>33</v>
      </c>
      <c r="D17" s="6" t="s">
        <v>33</v>
      </c>
      <c r="E17" s="6" t="s">
        <v>91</v>
      </c>
      <c r="F17" s="6" t="s">
        <v>91</v>
      </c>
      <c r="G17" s="6" t="s">
        <v>91</v>
      </c>
      <c r="H17" s="6" t="s">
        <v>123</v>
      </c>
      <c r="I17" s="6" t="s">
        <v>123</v>
      </c>
      <c r="J17" s="6" t="s">
        <v>123</v>
      </c>
      <c r="K17" s="6"/>
      <c r="L17" s="6"/>
      <c r="M17" s="6"/>
    </row>
    <row r="18" spans="1:13" x14ac:dyDescent="0.25">
      <c r="A18" s="4" t="s">
        <v>18</v>
      </c>
      <c r="B18" s="6" t="s">
        <v>35</v>
      </c>
      <c r="C18" s="6" t="s">
        <v>35</v>
      </c>
      <c r="D18" s="6" t="s">
        <v>35</v>
      </c>
      <c r="E18" s="6" t="s">
        <v>92</v>
      </c>
      <c r="F18" s="6" t="s">
        <v>92</v>
      </c>
      <c r="G18" s="6" t="s">
        <v>92</v>
      </c>
      <c r="H18" s="6" t="s">
        <v>124</v>
      </c>
      <c r="I18" s="6" t="s">
        <v>124</v>
      </c>
      <c r="J18" s="6" t="s">
        <v>124</v>
      </c>
      <c r="K18" s="6"/>
      <c r="L18" s="6"/>
      <c r="M18" s="6"/>
    </row>
    <row r="19" spans="1:13" x14ac:dyDescent="0.25">
      <c r="A19" s="4" t="s">
        <v>19</v>
      </c>
      <c r="B19" s="6" t="s">
        <v>36</v>
      </c>
      <c r="C19" s="6" t="s">
        <v>36</v>
      </c>
      <c r="D19" s="6" t="s">
        <v>36</v>
      </c>
      <c r="E19" s="6" t="s">
        <v>93</v>
      </c>
      <c r="F19" s="6" t="s">
        <v>93</v>
      </c>
      <c r="G19" s="6" t="s">
        <v>93</v>
      </c>
      <c r="H19" s="6" t="s">
        <v>125</v>
      </c>
      <c r="I19" s="6" t="s">
        <v>125</v>
      </c>
      <c r="J19" s="6" t="s">
        <v>125</v>
      </c>
      <c r="K19" s="6" t="s">
        <v>71</v>
      </c>
      <c r="L19" s="6" t="s">
        <v>71</v>
      </c>
      <c r="M19" s="6" t="s">
        <v>71</v>
      </c>
    </row>
    <row r="21" spans="1:13" ht="30" x14ac:dyDescent="0.25">
      <c r="A21" s="3" t="s">
        <v>38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25</v>
      </c>
      <c r="L22" s="2">
        <v>25</v>
      </c>
      <c r="M22" s="2">
        <v>25</v>
      </c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25</v>
      </c>
      <c r="L23" s="2">
        <v>25</v>
      </c>
      <c r="M23" s="2">
        <v>25</v>
      </c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25</v>
      </c>
      <c r="L24" s="2">
        <v>25</v>
      </c>
      <c r="M24" s="2">
        <v>25</v>
      </c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25</v>
      </c>
      <c r="L25" s="2">
        <v>25</v>
      </c>
      <c r="M25" s="2">
        <v>25</v>
      </c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25</v>
      </c>
      <c r="L26" s="2">
        <v>25</v>
      </c>
      <c r="M26" s="2">
        <v>25</v>
      </c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25</v>
      </c>
      <c r="I28" s="2">
        <v>25</v>
      </c>
      <c r="J28" s="2">
        <v>25</v>
      </c>
      <c r="K28" s="2">
        <v>1</v>
      </c>
      <c r="L28" s="2">
        <v>1</v>
      </c>
      <c r="M28" s="2">
        <v>1</v>
      </c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25</v>
      </c>
      <c r="I29" s="2">
        <v>25</v>
      </c>
      <c r="J29" s="2">
        <v>25</v>
      </c>
      <c r="K29" s="2">
        <v>25</v>
      </c>
      <c r="L29" s="2">
        <v>25</v>
      </c>
      <c r="M29" s="2">
        <v>25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3F28-EDB8-4CEF-A71C-6368B7B85A4A}">
  <dimension ref="A1:N29"/>
  <sheetViews>
    <sheetView tabSelected="1" workbookViewId="0">
      <selection sqref="A1:XFD1048576"/>
    </sheetView>
  </sheetViews>
  <sheetFormatPr defaultRowHeight="15" x14ac:dyDescent="0.25"/>
  <sheetData>
    <row r="1" spans="1:14" x14ac:dyDescent="0.25">
      <c r="A1" s="3" t="s">
        <v>3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12</v>
      </c>
      <c r="B2" s="2">
        <v>4.9000000000000002E-2</v>
      </c>
      <c r="C2" s="2">
        <v>5.3999999999999999E-2</v>
      </c>
      <c r="D2" s="2">
        <v>0.05</v>
      </c>
      <c r="E2" s="2">
        <v>5.5E-2</v>
      </c>
      <c r="F2" s="2">
        <v>0.05</v>
      </c>
      <c r="G2" s="2">
        <v>5.7000000000000002E-2</v>
      </c>
      <c r="H2" s="2">
        <v>5.7000000000000002E-2</v>
      </c>
      <c r="I2" s="2">
        <v>0.06</v>
      </c>
      <c r="J2" s="2">
        <v>5.7000000000000002E-2</v>
      </c>
      <c r="K2" s="2">
        <v>0.63800000000000001</v>
      </c>
      <c r="L2" s="2">
        <v>0.58399999999999996</v>
      </c>
      <c r="M2" s="2">
        <v>0.63700000000000001</v>
      </c>
      <c r="N2" s="5">
        <v>670</v>
      </c>
    </row>
    <row r="3" spans="1:14" x14ac:dyDescent="0.25">
      <c r="A3" s="4" t="s">
        <v>13</v>
      </c>
      <c r="B3" s="2">
        <v>0.13900000000000001</v>
      </c>
      <c r="C3" s="2">
        <v>0.15</v>
      </c>
      <c r="D3" s="2">
        <v>0.129</v>
      </c>
      <c r="E3" s="2">
        <v>5.2999999999999999E-2</v>
      </c>
      <c r="F3" s="2">
        <v>5.2999999999999999E-2</v>
      </c>
      <c r="G3" s="2">
        <v>5.3999999999999999E-2</v>
      </c>
      <c r="H3" s="2">
        <v>5.5E-2</v>
      </c>
      <c r="I3" s="2">
        <v>5.8000000000000003E-2</v>
      </c>
      <c r="J3" s="2">
        <v>5.6000000000000001E-2</v>
      </c>
      <c r="K3" s="2">
        <v>0.28499999999999998</v>
      </c>
      <c r="L3" s="2">
        <v>0.29699999999999999</v>
      </c>
      <c r="M3" s="2">
        <v>0.19</v>
      </c>
      <c r="N3" s="5">
        <v>670</v>
      </c>
    </row>
    <row r="4" spans="1:14" x14ac:dyDescent="0.25">
      <c r="A4" s="4" t="s">
        <v>14</v>
      </c>
      <c r="B4" s="2">
        <v>0.26400000000000001</v>
      </c>
      <c r="C4" s="2">
        <v>0.28799999999999998</v>
      </c>
      <c r="D4" s="2">
        <v>0.33700000000000002</v>
      </c>
      <c r="E4" s="2">
        <v>5.5E-2</v>
      </c>
      <c r="F4" s="2">
        <v>5.1999999999999998E-2</v>
      </c>
      <c r="G4" s="2">
        <v>5.8000000000000003E-2</v>
      </c>
      <c r="H4" s="2">
        <v>0.06</v>
      </c>
      <c r="I4" s="2">
        <v>5.7000000000000002E-2</v>
      </c>
      <c r="J4" s="2">
        <v>5.6000000000000001E-2</v>
      </c>
      <c r="K4" s="2">
        <v>1.117</v>
      </c>
      <c r="L4" s="2">
        <v>1.1359999999999999</v>
      </c>
      <c r="M4" s="2">
        <v>0.97399999999999998</v>
      </c>
      <c r="N4" s="5">
        <v>670</v>
      </c>
    </row>
    <row r="5" spans="1:14" x14ac:dyDescent="0.25">
      <c r="A5" s="4" t="s">
        <v>15</v>
      </c>
      <c r="B5" s="2">
        <v>0.45600000000000002</v>
      </c>
      <c r="C5" s="2">
        <v>0.45700000000000002</v>
      </c>
      <c r="D5" s="2">
        <v>0.52900000000000003</v>
      </c>
      <c r="E5" s="2">
        <v>5.8000000000000003E-2</v>
      </c>
      <c r="F5" s="2">
        <v>5.5E-2</v>
      </c>
      <c r="G5" s="2">
        <v>5.2999999999999999E-2</v>
      </c>
      <c r="H5" s="2">
        <v>5.7000000000000002E-2</v>
      </c>
      <c r="I5" s="2">
        <v>5.3999999999999999E-2</v>
      </c>
      <c r="J5" s="2">
        <v>5.5E-2</v>
      </c>
      <c r="K5" s="2">
        <v>0.47799999999999998</v>
      </c>
      <c r="L5" s="2">
        <v>0.442</v>
      </c>
      <c r="M5" s="2">
        <v>0.41299999999999998</v>
      </c>
      <c r="N5" s="5">
        <v>670</v>
      </c>
    </row>
    <row r="6" spans="1:14" x14ac:dyDescent="0.25">
      <c r="A6" s="4" t="s">
        <v>16</v>
      </c>
      <c r="B6" s="2">
        <v>0.79200000000000004</v>
      </c>
      <c r="C6" s="2">
        <v>0.85099999999999998</v>
      </c>
      <c r="D6" s="2">
        <v>0.90800000000000003</v>
      </c>
      <c r="E6" s="2">
        <v>5.6000000000000001E-2</v>
      </c>
      <c r="F6" s="2">
        <v>5.5E-2</v>
      </c>
      <c r="G6" s="2">
        <v>5.2999999999999999E-2</v>
      </c>
      <c r="H6" s="2">
        <v>5.3999999999999999E-2</v>
      </c>
      <c r="I6" s="2">
        <v>5.2999999999999999E-2</v>
      </c>
      <c r="J6" s="2">
        <v>5.2999999999999999E-2</v>
      </c>
      <c r="K6" s="2">
        <v>0.434</v>
      </c>
      <c r="L6" s="2">
        <v>0.39800000000000002</v>
      </c>
      <c r="M6" s="2">
        <v>0.35399999999999998</v>
      </c>
      <c r="N6" s="5">
        <v>670</v>
      </c>
    </row>
    <row r="7" spans="1:14" x14ac:dyDescent="0.25">
      <c r="A7" s="4" t="s">
        <v>17</v>
      </c>
      <c r="B7" s="2">
        <v>1.351</v>
      </c>
      <c r="C7" s="2">
        <v>1.3089999999999999</v>
      </c>
      <c r="D7" s="2">
        <v>1.1879999999999999</v>
      </c>
      <c r="E7" s="2">
        <v>0.128</v>
      </c>
      <c r="F7" s="2">
        <v>0.12</v>
      </c>
      <c r="G7" s="2">
        <v>0.13</v>
      </c>
      <c r="H7" s="2">
        <v>5.1999999999999998E-2</v>
      </c>
      <c r="I7" s="2">
        <v>5.2999999999999999E-2</v>
      </c>
      <c r="J7" s="2">
        <v>5.2999999999999999E-2</v>
      </c>
      <c r="K7" s="2">
        <v>5.5E-2</v>
      </c>
      <c r="L7" s="2">
        <v>5.3999999999999999E-2</v>
      </c>
      <c r="M7" s="2">
        <v>5.5E-2</v>
      </c>
      <c r="N7" s="5">
        <v>670</v>
      </c>
    </row>
    <row r="8" spans="1:14" x14ac:dyDescent="0.25">
      <c r="A8" s="4" t="s">
        <v>18</v>
      </c>
      <c r="B8" s="2">
        <v>4.3999999999999997E-2</v>
      </c>
      <c r="C8" s="2">
        <v>4.3999999999999997E-2</v>
      </c>
      <c r="D8" s="2">
        <v>4.3999999999999997E-2</v>
      </c>
      <c r="E8" s="2">
        <v>0.123</v>
      </c>
      <c r="F8" s="2">
        <v>0.123</v>
      </c>
      <c r="G8" s="2">
        <v>0.11600000000000001</v>
      </c>
      <c r="H8" s="2">
        <v>1.421</v>
      </c>
      <c r="I8" s="2">
        <v>1.349</v>
      </c>
      <c r="J8" s="2">
        <v>1.2789999999999999</v>
      </c>
      <c r="K8" s="2">
        <v>5.1999999999999998E-2</v>
      </c>
      <c r="L8" s="2">
        <v>5.3999999999999999E-2</v>
      </c>
      <c r="M8" s="2">
        <v>5.0999999999999997E-2</v>
      </c>
      <c r="N8" s="5">
        <v>670</v>
      </c>
    </row>
    <row r="9" spans="1:14" x14ac:dyDescent="0.25">
      <c r="A9" s="4" t="s">
        <v>19</v>
      </c>
      <c r="B9" s="2">
        <v>4.5999999999999999E-2</v>
      </c>
      <c r="C9" s="2">
        <v>4.3999999999999997E-2</v>
      </c>
      <c r="D9" s="2">
        <v>4.7E-2</v>
      </c>
      <c r="E9" s="2">
        <v>7.6999999999999999E-2</v>
      </c>
      <c r="F9" s="2">
        <v>7.6999999999999999E-2</v>
      </c>
      <c r="G9" s="2">
        <v>7.6999999999999999E-2</v>
      </c>
      <c r="H9" s="2">
        <v>1.5509999999999999</v>
      </c>
      <c r="I9" s="2">
        <v>1.5349999999999999</v>
      </c>
      <c r="J9" s="2">
        <v>1.456</v>
      </c>
      <c r="K9" s="2">
        <v>4.3999999999999997E-2</v>
      </c>
      <c r="L9" s="2">
        <v>4.3999999999999997E-2</v>
      </c>
      <c r="M9" s="2">
        <v>4.4999999999999998E-2</v>
      </c>
      <c r="N9" s="5">
        <v>670</v>
      </c>
    </row>
    <row r="11" spans="1:14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12</v>
      </c>
      <c r="B12" s="6" t="s">
        <v>21</v>
      </c>
      <c r="C12" s="6" t="s">
        <v>21</v>
      </c>
      <c r="D12" s="6" t="s">
        <v>21</v>
      </c>
      <c r="E12" s="6" t="s">
        <v>95</v>
      </c>
      <c r="F12" s="6" t="s">
        <v>95</v>
      </c>
      <c r="G12" s="6" t="s">
        <v>95</v>
      </c>
      <c r="H12" s="6" t="s">
        <v>103</v>
      </c>
      <c r="I12" s="6" t="s">
        <v>103</v>
      </c>
      <c r="J12" s="6" t="s">
        <v>103</v>
      </c>
      <c r="K12" s="6" t="s">
        <v>111</v>
      </c>
      <c r="L12" s="6" t="s">
        <v>111</v>
      </c>
      <c r="M12" s="6" t="s">
        <v>111</v>
      </c>
    </row>
    <row r="13" spans="1:14" x14ac:dyDescent="0.25">
      <c r="A13" s="4" t="s">
        <v>13</v>
      </c>
      <c r="B13" s="6" t="s">
        <v>23</v>
      </c>
      <c r="C13" s="6" t="s">
        <v>23</v>
      </c>
      <c r="D13" s="6" t="s">
        <v>23</v>
      </c>
      <c r="E13" s="6" t="s">
        <v>96</v>
      </c>
      <c r="F13" s="6" t="s">
        <v>96</v>
      </c>
      <c r="G13" s="6" t="s">
        <v>96</v>
      </c>
      <c r="H13" s="6" t="s">
        <v>104</v>
      </c>
      <c r="I13" s="6" t="s">
        <v>104</v>
      </c>
      <c r="J13" s="6" t="s">
        <v>104</v>
      </c>
      <c r="K13" s="6" t="s">
        <v>112</v>
      </c>
      <c r="L13" s="6" t="s">
        <v>112</v>
      </c>
      <c r="M13" s="6" t="s">
        <v>112</v>
      </c>
    </row>
    <row r="14" spans="1:14" x14ac:dyDescent="0.25">
      <c r="A14" s="4" t="s">
        <v>14</v>
      </c>
      <c r="B14" s="6" t="s">
        <v>25</v>
      </c>
      <c r="C14" s="6" t="s">
        <v>25</v>
      </c>
      <c r="D14" s="6" t="s">
        <v>25</v>
      </c>
      <c r="E14" s="6" t="s">
        <v>97</v>
      </c>
      <c r="F14" s="6" t="s">
        <v>97</v>
      </c>
      <c r="G14" s="6" t="s">
        <v>97</v>
      </c>
      <c r="H14" s="6" t="s">
        <v>105</v>
      </c>
      <c r="I14" s="6" t="s">
        <v>105</v>
      </c>
      <c r="J14" s="6" t="s">
        <v>105</v>
      </c>
      <c r="K14" s="6" t="s">
        <v>113</v>
      </c>
      <c r="L14" s="6" t="s">
        <v>113</v>
      </c>
      <c r="M14" s="6" t="s">
        <v>113</v>
      </c>
    </row>
    <row r="15" spans="1:14" x14ac:dyDescent="0.25">
      <c r="A15" s="4" t="s">
        <v>15</v>
      </c>
      <c r="B15" s="6" t="s">
        <v>27</v>
      </c>
      <c r="C15" s="6" t="s">
        <v>27</v>
      </c>
      <c r="D15" s="6" t="s">
        <v>27</v>
      </c>
      <c r="E15" s="6" t="s">
        <v>98</v>
      </c>
      <c r="F15" s="6" t="s">
        <v>98</v>
      </c>
      <c r="G15" s="6" t="s">
        <v>98</v>
      </c>
      <c r="H15" s="6" t="s">
        <v>106</v>
      </c>
      <c r="I15" s="6" t="s">
        <v>106</v>
      </c>
      <c r="J15" s="6" t="s">
        <v>106</v>
      </c>
      <c r="K15" s="6" t="s">
        <v>114</v>
      </c>
      <c r="L15" s="6" t="s">
        <v>114</v>
      </c>
      <c r="M15" s="6" t="s">
        <v>114</v>
      </c>
    </row>
    <row r="16" spans="1:14" x14ac:dyDescent="0.25">
      <c r="A16" s="4" t="s">
        <v>16</v>
      </c>
      <c r="B16" s="6" t="s">
        <v>30</v>
      </c>
      <c r="C16" s="6" t="s">
        <v>30</v>
      </c>
      <c r="D16" s="6" t="s">
        <v>30</v>
      </c>
      <c r="E16" s="6" t="s">
        <v>99</v>
      </c>
      <c r="F16" s="6" t="s">
        <v>99</v>
      </c>
      <c r="G16" s="6" t="s">
        <v>99</v>
      </c>
      <c r="H16" s="6" t="s">
        <v>107</v>
      </c>
      <c r="I16" s="6" t="s">
        <v>107</v>
      </c>
      <c r="J16" s="6" t="s">
        <v>107</v>
      </c>
      <c r="K16" s="6" t="s">
        <v>115</v>
      </c>
      <c r="L16" s="6" t="s">
        <v>115</v>
      </c>
      <c r="M16" s="6" t="s">
        <v>115</v>
      </c>
    </row>
    <row r="17" spans="1:13" x14ac:dyDescent="0.25">
      <c r="A17" s="4" t="s">
        <v>17</v>
      </c>
      <c r="B17" s="6" t="s">
        <v>33</v>
      </c>
      <c r="C17" s="6" t="s">
        <v>33</v>
      </c>
      <c r="D17" s="6" t="s">
        <v>33</v>
      </c>
      <c r="E17" s="6" t="s">
        <v>100</v>
      </c>
      <c r="F17" s="6" t="s">
        <v>100</v>
      </c>
      <c r="G17" s="6" t="s">
        <v>100</v>
      </c>
      <c r="H17" s="6" t="s">
        <v>108</v>
      </c>
      <c r="I17" s="6" t="s">
        <v>108</v>
      </c>
      <c r="J17" s="6" t="s">
        <v>108</v>
      </c>
      <c r="K17" s="6" t="s">
        <v>116</v>
      </c>
      <c r="L17" s="6" t="s">
        <v>116</v>
      </c>
      <c r="M17" s="6" t="s">
        <v>116</v>
      </c>
    </row>
    <row r="18" spans="1:13" x14ac:dyDescent="0.25">
      <c r="A18" s="4" t="s">
        <v>18</v>
      </c>
      <c r="B18" s="6" t="s">
        <v>35</v>
      </c>
      <c r="C18" s="6" t="s">
        <v>35</v>
      </c>
      <c r="D18" s="6" t="s">
        <v>35</v>
      </c>
      <c r="E18" s="6" t="s">
        <v>101</v>
      </c>
      <c r="F18" s="6" t="s">
        <v>101</v>
      </c>
      <c r="G18" s="6" t="s">
        <v>101</v>
      </c>
      <c r="H18" s="6" t="s">
        <v>109</v>
      </c>
      <c r="I18" s="6" t="s">
        <v>109</v>
      </c>
      <c r="J18" s="6" t="s">
        <v>109</v>
      </c>
      <c r="K18" s="6" t="s">
        <v>117</v>
      </c>
      <c r="L18" s="6" t="s">
        <v>117</v>
      </c>
      <c r="M18" s="6" t="s">
        <v>117</v>
      </c>
    </row>
    <row r="19" spans="1:13" x14ac:dyDescent="0.25">
      <c r="A19" s="4" t="s">
        <v>19</v>
      </c>
      <c r="B19" s="6" t="s">
        <v>36</v>
      </c>
      <c r="C19" s="6" t="s">
        <v>36</v>
      </c>
      <c r="D19" s="6" t="s">
        <v>36</v>
      </c>
      <c r="E19" s="6" t="s">
        <v>102</v>
      </c>
      <c r="F19" s="6" t="s">
        <v>102</v>
      </c>
      <c r="G19" s="6" t="s">
        <v>102</v>
      </c>
      <c r="H19" s="6" t="s">
        <v>110</v>
      </c>
      <c r="I19" s="6" t="s">
        <v>110</v>
      </c>
      <c r="J19" s="6" t="s">
        <v>110</v>
      </c>
      <c r="K19" s="6"/>
      <c r="L19" s="6"/>
      <c r="M19" s="6"/>
    </row>
    <row r="21" spans="1:13" ht="30" x14ac:dyDescent="0.25">
      <c r="A21" s="3" t="s">
        <v>38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25</v>
      </c>
      <c r="L22" s="2">
        <v>25</v>
      </c>
      <c r="M22" s="2">
        <v>25</v>
      </c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25</v>
      </c>
      <c r="L23" s="2">
        <v>25</v>
      </c>
      <c r="M23" s="2">
        <v>25</v>
      </c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25</v>
      </c>
      <c r="L24" s="2">
        <v>25</v>
      </c>
      <c r="M24" s="2">
        <v>25</v>
      </c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25</v>
      </c>
      <c r="L25" s="2">
        <v>25</v>
      </c>
      <c r="M25" s="2">
        <v>25</v>
      </c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25</v>
      </c>
      <c r="L26" s="2">
        <v>25</v>
      </c>
      <c r="M26" s="2">
        <v>25</v>
      </c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25</v>
      </c>
      <c r="I28" s="2">
        <v>25</v>
      </c>
      <c r="J28" s="2">
        <v>25</v>
      </c>
      <c r="K28" s="2">
        <v>1</v>
      </c>
      <c r="L28" s="2">
        <v>1</v>
      </c>
      <c r="M28" s="2">
        <v>1</v>
      </c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25</v>
      </c>
      <c r="I29" s="2">
        <v>25</v>
      </c>
      <c r="J29" s="2">
        <v>25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4357-65B7-4E45-AF67-F8CDD0FD1E0F}">
  <dimension ref="A1"/>
  <sheetViews>
    <sheetView workbookViewId="0">
      <selection activeCell="H31" sqref="H31"/>
    </sheetView>
  </sheetViews>
  <sheetFormatPr defaultRowHeight="15" x14ac:dyDescent="0.2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STDs</vt:lpstr>
      <vt:lpstr>Plate1</vt:lpstr>
      <vt:lpstr>Plate2</vt:lpstr>
      <vt:lpstr>Plate3</vt:lpstr>
      <vt:lpstr>Plate4</vt:lpstr>
      <vt:lpstr>Plate5</vt:lpstr>
      <vt:lpstr>Plate6</vt:lpstr>
      <vt:lpstr>Plate7</vt:lpstr>
      <vt:lpstr>Plate8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Wilson, Stephanie</cp:lastModifiedBy>
  <dcterms:created xsi:type="dcterms:W3CDTF">2023-09-04T17:44:44Z</dcterms:created>
  <dcterms:modified xsi:type="dcterms:W3CDTF">2023-09-05T00:29:26Z</dcterms:modified>
</cp:coreProperties>
</file>