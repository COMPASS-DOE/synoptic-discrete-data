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People\Wilson (Steph)\Data\MicroPlate Data\Sulfide\Data\2023\"/>
    </mc:Choice>
  </mc:AlternateContent>
  <xr:revisionPtr revIDLastSave="0" documentId="13_ncr:1_{A9FC0C43-ECA4-4F36-8FB9-82CFDCD2F7B9}" xr6:coauthVersionLast="47" xr6:coauthVersionMax="47" xr10:uidLastSave="{00000000-0000-0000-0000-000000000000}"/>
  <bookViews>
    <workbookView xWindow="-120" yWindow="-120" windowWidth="21840" windowHeight="13140" activeTab="6" xr2:uid="{A60E639B-7155-4C88-BB66-A5E53F626C33}"/>
  </bookViews>
  <sheets>
    <sheet name="STDs" sheetId="2" r:id="rId1"/>
    <sheet name="Plate 1" sheetId="1" r:id="rId2"/>
    <sheet name="Plate 2" sheetId="3" r:id="rId3"/>
    <sheet name="Plate 3" sheetId="4" r:id="rId4"/>
    <sheet name="Plate 4" sheetId="5" r:id="rId5"/>
    <sheet name="Plate 5" sheetId="6" r:id="rId6"/>
    <sheet name="Plate 6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1" i="2" l="1"/>
  <c r="B28" i="2"/>
  <c r="B65" i="2"/>
  <c r="B64" i="2"/>
  <c r="B63" i="2"/>
  <c r="B62" i="2"/>
  <c r="B61" i="2"/>
  <c r="B60" i="2"/>
  <c r="B59" i="2"/>
  <c r="B58" i="2"/>
  <c r="B54" i="2"/>
  <c r="B53" i="2"/>
  <c r="B52" i="2"/>
  <c r="B50" i="2"/>
  <c r="B49" i="2"/>
  <c r="B48" i="2"/>
  <c r="B47" i="2"/>
  <c r="B43" i="2"/>
  <c r="B42" i="2"/>
  <c r="B41" i="2"/>
  <c r="B40" i="2"/>
  <c r="B39" i="2"/>
  <c r="B38" i="2"/>
  <c r="B37" i="2"/>
  <c r="B36" i="2"/>
  <c r="B32" i="2"/>
  <c r="B31" i="2"/>
  <c r="B30" i="2"/>
  <c r="B29" i="2"/>
  <c r="B27" i="2"/>
  <c r="B26" i="2"/>
  <c r="B25" i="2"/>
  <c r="B21" i="2"/>
  <c r="B20" i="2"/>
  <c r="B19" i="2"/>
  <c r="B18" i="2"/>
  <c r="B17" i="2"/>
  <c r="B16" i="2"/>
  <c r="B15" i="2"/>
  <c r="B14" i="2"/>
  <c r="B9" i="2"/>
  <c r="B10" i="2"/>
  <c r="B4" i="2"/>
  <c r="B5" i="2"/>
  <c r="B6" i="2"/>
  <c r="B7" i="2"/>
  <c r="B8" i="2"/>
  <c r="B3" i="2"/>
</calcChain>
</file>

<file path=xl/sharedStrings.xml><?xml version="1.0" encoding="utf-8"?>
<sst xmlns="http://schemas.openxmlformats.org/spreadsheetml/2006/main" count="772" uniqueCount="159">
  <si>
    <t xml:space="preserve">Plate 1 </t>
  </si>
  <si>
    <t>Conc</t>
  </si>
  <si>
    <t>Avg Abs</t>
  </si>
  <si>
    <t>Abs1</t>
  </si>
  <si>
    <t>Abs 2</t>
  </si>
  <si>
    <t>Abs3</t>
  </si>
  <si>
    <t>Plate 2</t>
  </si>
  <si>
    <t>Plate 3</t>
  </si>
  <si>
    <t>Plate 4</t>
  </si>
  <si>
    <t>Plate 5</t>
  </si>
  <si>
    <t>Plate 6</t>
  </si>
  <si>
    <t>A</t>
  </si>
  <si>
    <t>B</t>
  </si>
  <si>
    <t>C</t>
  </si>
  <si>
    <t>D</t>
  </si>
  <si>
    <t>E</t>
  </si>
  <si>
    <t>F</t>
  </si>
  <si>
    <t>G</t>
  </si>
  <si>
    <t>H</t>
  </si>
  <si>
    <t>IDs</t>
  </si>
  <si>
    <t>Dilutions</t>
  </si>
  <si>
    <t>Std 0</t>
  </si>
  <si>
    <t>Std 1</t>
  </si>
  <si>
    <t>Std 2</t>
  </si>
  <si>
    <t>Std 3</t>
  </si>
  <si>
    <t>Std 4</t>
  </si>
  <si>
    <t>Std 5</t>
  </si>
  <si>
    <t>MC: 10ppt</t>
  </si>
  <si>
    <t>MC: 20ppt</t>
  </si>
  <si>
    <t>GCW_UP_LysA_20cm</t>
  </si>
  <si>
    <t>GCW_UP_LysB_20cm</t>
  </si>
  <si>
    <t>GCW_UP_LysC_20cm</t>
  </si>
  <si>
    <t>GCW_UP_LysB_10cm</t>
  </si>
  <si>
    <t>GCW_UP_LysC_10cm</t>
  </si>
  <si>
    <t>GCW_UP_LysC_45cm</t>
  </si>
  <si>
    <t>GCW_TR_LysA_20cm</t>
  </si>
  <si>
    <t>GCW_TR_LysA_45cm</t>
  </si>
  <si>
    <t>GCW_TR_LysB_10cm</t>
  </si>
  <si>
    <t>GCW_TR_LysB_20cm</t>
  </si>
  <si>
    <t>GCW_TR_LysB_45cm</t>
  </si>
  <si>
    <t>GCW_TR_LysC_10cm</t>
  </si>
  <si>
    <t>GCW_TR_LysC_10cm_dup</t>
  </si>
  <si>
    <t>GCW_TR_LysC_20cm</t>
  </si>
  <si>
    <t>GCW_TR_LysC_20cm_spk</t>
  </si>
  <si>
    <t>GCW_TR_LysC_45cm</t>
  </si>
  <si>
    <t>GCW_WC_LysA_10cm</t>
  </si>
  <si>
    <t>GCW_WC_LysB_20cm</t>
  </si>
  <si>
    <t>GCW_WC_LysB_45cm</t>
  </si>
  <si>
    <t>GCW_WC_LysC_10cm</t>
  </si>
  <si>
    <t>GCW_WC_LysC_20cm</t>
  </si>
  <si>
    <t>GCW_WC_LysA_45cm</t>
  </si>
  <si>
    <t>GCW_WC_LysA_20cm</t>
  </si>
  <si>
    <t>GCW_WC_LysB_10cm</t>
  </si>
  <si>
    <t>GCW_SW_A</t>
  </si>
  <si>
    <t>GCW_SW_B</t>
  </si>
  <si>
    <t>GCW_SW_C</t>
  </si>
  <si>
    <t>MSM_UP_LysA_45cm</t>
  </si>
  <si>
    <t>MSM_UP_LysB_10cm</t>
  </si>
  <si>
    <t>MSM_UP_LysB_20cm</t>
  </si>
  <si>
    <t>MSM_UP_LysB_45cm</t>
  </si>
  <si>
    <t>MSM_UP_LysC_10cm</t>
  </si>
  <si>
    <t>MSM_UP_LysA_20cm</t>
  </si>
  <si>
    <t>MSM_UP_LysC_20cm</t>
  </si>
  <si>
    <t>MSM_TR_LysA_10cm</t>
  </si>
  <si>
    <t>MSM_TR_LysA_10cm_dup</t>
  </si>
  <si>
    <t>MSM_TR_LysA_20cm</t>
  </si>
  <si>
    <t>MSM_TR_LysA_20cm_spk</t>
  </si>
  <si>
    <t>MSM_TR_LysA_45cm</t>
  </si>
  <si>
    <t>MSM_TR_LysB_10cm</t>
  </si>
  <si>
    <t>MSM_TR_LysB_20cm</t>
  </si>
  <si>
    <t>MSM_TR_LysB_45cm</t>
  </si>
  <si>
    <t>MSM_TR_LysC_10cm</t>
  </si>
  <si>
    <t>MSM_TR_LysC_20cm</t>
  </si>
  <si>
    <t>MSM_TR_LysC_45cm</t>
  </si>
  <si>
    <t>MSM_WC_LysA_10cm</t>
  </si>
  <si>
    <t>MSM_WC_LysA_20cm</t>
  </si>
  <si>
    <t>MSM_WC_LysA_45cm</t>
  </si>
  <si>
    <t>MSM_WC_LysB_45cm</t>
  </si>
  <si>
    <t>MSM_WC_LysC_45cm</t>
  </si>
  <si>
    <t>MSM_WC_LysB_10cm</t>
  </si>
  <si>
    <t>MSM_WC_LysB_20cm</t>
  </si>
  <si>
    <t>MSM_WC_LysC_10cm</t>
  </si>
  <si>
    <t>MSM_WC_LysC_20cm</t>
  </si>
  <si>
    <t>MSM_SW_A</t>
  </si>
  <si>
    <t>MSM_SW_B</t>
  </si>
  <si>
    <t>MSM_SW_C</t>
  </si>
  <si>
    <t>GWI_UP_LysA_20cm</t>
  </si>
  <si>
    <t>GWI_UP_LysA_45cm</t>
  </si>
  <si>
    <t>GWI_UP_LysA_45cm_dup</t>
  </si>
  <si>
    <t>GWI_UP_LysB_10cm</t>
  </si>
  <si>
    <t>GWI_UP_LysB_10cm_spk</t>
  </si>
  <si>
    <t>GWI_UP_LysB_20cm</t>
  </si>
  <si>
    <t>GWI_UP_LysB_45cm</t>
  </si>
  <si>
    <t>GWI_UP_LysC_10cm</t>
  </si>
  <si>
    <t>GWI_UP_LysC_20cm</t>
  </si>
  <si>
    <t>GWI_UP_LysC_45cm</t>
  </si>
  <si>
    <t>GWI_TR_LysA_10cm</t>
  </si>
  <si>
    <t>GWI_TR_LysB_45cm</t>
  </si>
  <si>
    <t>GWI_TR_LysA_20cm</t>
  </si>
  <si>
    <t>GWI_TR_LysA_45cm</t>
  </si>
  <si>
    <t>GWI_TR_LysB_10cm</t>
  </si>
  <si>
    <t>GWI_TR_LysB_20cm</t>
  </si>
  <si>
    <t>GWI_TR_LysC_10cm</t>
  </si>
  <si>
    <t>GWI_TR_LysC_20cm</t>
  </si>
  <si>
    <t>GWI_WC_LysA_10cm</t>
  </si>
  <si>
    <t>GWI_WC_LysA_20cm</t>
  </si>
  <si>
    <t>GWI_WC_LysA_45cm</t>
  </si>
  <si>
    <t>GWI_WC_LysB_10cm</t>
  </si>
  <si>
    <t>GWI_WC_LysB_20cm</t>
  </si>
  <si>
    <t>GWI_WC_LysB_45cm</t>
  </si>
  <si>
    <t>GWI_WC_LysC_10cm</t>
  </si>
  <si>
    <t>GWI_WC_LysC_20cm</t>
  </si>
  <si>
    <t>GWI_WC_LysC_20cm_dup</t>
  </si>
  <si>
    <t>GWI_WC_LysC_45cm</t>
  </si>
  <si>
    <t>GWI_WC_LysC_45cm_spk</t>
  </si>
  <si>
    <t>GWI_SW_A</t>
  </si>
  <si>
    <t>GWI_SW_B</t>
  </si>
  <si>
    <t>GWI_SW_C</t>
  </si>
  <si>
    <t>MSM_PPR_UP_1</t>
  </si>
  <si>
    <t>MSM_PPR_UP_2</t>
  </si>
  <si>
    <t>MSM_PPR_UP_3</t>
  </si>
  <si>
    <t>MSM_PPR_UP_4</t>
  </si>
  <si>
    <t>MSM_PPR_UP_5</t>
  </si>
  <si>
    <t>MSM_PPR_UP_6</t>
  </si>
  <si>
    <t>MSM_PPR_UP_7</t>
  </si>
  <si>
    <t>MSM_PPR_UP_8</t>
  </si>
  <si>
    <t>MSM_PPR_UP_9</t>
  </si>
  <si>
    <t>MSM_PPR_UP_10</t>
  </si>
  <si>
    <t>MSM_PPR_UP_11</t>
  </si>
  <si>
    <t>MSM_PPR_UP_12</t>
  </si>
  <si>
    <t>MSM_PPR_TR_1</t>
  </si>
  <si>
    <t>MSM_PPR_TR_2</t>
  </si>
  <si>
    <t>MSM_PPR_TR_3</t>
  </si>
  <si>
    <t>MSM_PPR_TR_4</t>
  </si>
  <si>
    <t>MSM_PPR_TR_5</t>
  </si>
  <si>
    <t>MSM_PPR_TR_6</t>
  </si>
  <si>
    <t>MSM_PPR_TR_7</t>
  </si>
  <si>
    <t>MSM_PPR_TR_8</t>
  </si>
  <si>
    <t>MSM_PPR_TR_9</t>
  </si>
  <si>
    <t>MSM_PPR_TR_10</t>
  </si>
  <si>
    <t>MSM_PPR_TR_7_spk</t>
  </si>
  <si>
    <t>MSM_PPR_TR_6_dup</t>
  </si>
  <si>
    <t>MSM_PPR_TR_11</t>
  </si>
  <si>
    <t>MSM_PPR_TR_12</t>
  </si>
  <si>
    <t>MSM_PPR_WC_1</t>
  </si>
  <si>
    <t>MSM_PPR_WC_2</t>
  </si>
  <si>
    <t>MSM_PPR_WC_3</t>
  </si>
  <si>
    <t>MSM_PPR_WC_4</t>
  </si>
  <si>
    <t>MSM_PPR_WC_5</t>
  </si>
  <si>
    <t>MSM_PPR_WC_6</t>
  </si>
  <si>
    <t>MSM_PPR_WC_7</t>
  </si>
  <si>
    <t>MSM_PPR_WC_8</t>
  </si>
  <si>
    <t>MSM_PPR_WC_9</t>
  </si>
  <si>
    <t>MSM_PPR_WC_10</t>
  </si>
  <si>
    <t>MSM_PPR_WC_11</t>
  </si>
  <si>
    <t>MSM_PPR_WC_12</t>
  </si>
  <si>
    <t>GCW_WC_LysB_10cm_dup</t>
  </si>
  <si>
    <t>GCW_WC_LysB_20cm_spk</t>
  </si>
  <si>
    <t>GCW_WC_LysC_45cm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</si>
</sst>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1" xfId="0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 inden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Plate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STDs!$B$2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496342957130359"/>
                  <c:y val="0.3139230573070563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STDs!$A$3:$A$10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xVal>
          <c:yVal>
            <c:numRef>
              <c:f>STDs!$B$3:$B$10</c:f>
              <c:numCache>
                <c:formatCode>General</c:formatCode>
                <c:ptCount val="8"/>
                <c:pt idx="0">
                  <c:v>4.7000000000000007E-2</c:v>
                </c:pt>
                <c:pt idx="1">
                  <c:v>0.13433333333333333</c:v>
                </c:pt>
                <c:pt idx="2">
                  <c:v>0.30933333333333329</c:v>
                </c:pt>
                <c:pt idx="3">
                  <c:v>0.51133333333333331</c:v>
                </c:pt>
                <c:pt idx="4">
                  <c:v>0.9953333333333334</c:v>
                </c:pt>
                <c:pt idx="5">
                  <c:v>1.6719999999999999</c:v>
                </c:pt>
                <c:pt idx="6">
                  <c:v>1.6226666666666667</c:v>
                </c:pt>
                <c:pt idx="7">
                  <c:v>1.5353333333333332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4A-4D55-A9C1-830CF5089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4378176"/>
        <c:axId val="384379160"/>
      </c:scatterChart>
      <c:valAx>
        <c:axId val="384378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379160"/>
        <c:crosses val="autoZero"/>
        <c:crossBetween val="midCat"/>
      </c:valAx>
      <c:valAx>
        <c:axId val="384379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378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Plate</a:t>
            </a:r>
            <a:r>
              <a:rPr lang="en-US" baseline="0"/>
              <a:t> 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STDs!$B$13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270105201427478"/>
                  <c:y val="0.2940520281987313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STDs!$A$14:$A$21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xVal>
          <c:yVal>
            <c:numRef>
              <c:f>STDs!$B$14:$B$21</c:f>
              <c:numCache>
                <c:formatCode>General</c:formatCode>
                <c:ptCount val="8"/>
                <c:pt idx="0">
                  <c:v>5.0333333333333341E-2</c:v>
                </c:pt>
                <c:pt idx="1">
                  <c:v>0.13400000000000001</c:v>
                </c:pt>
                <c:pt idx="2">
                  <c:v>0.309</c:v>
                </c:pt>
                <c:pt idx="3">
                  <c:v>0.59100000000000008</c:v>
                </c:pt>
                <c:pt idx="4">
                  <c:v>0.97666666666666668</c:v>
                </c:pt>
                <c:pt idx="5">
                  <c:v>1.5999999999999999</c:v>
                </c:pt>
                <c:pt idx="6">
                  <c:v>1.5343333333333333</c:v>
                </c:pt>
                <c:pt idx="7">
                  <c:v>1.5136666666666667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68-4367-A888-CAC1F73D05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1632824"/>
        <c:axId val="481632168"/>
      </c:scatterChart>
      <c:valAx>
        <c:axId val="481632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632168"/>
        <c:crosses val="autoZero"/>
        <c:crossBetween val="midCat"/>
      </c:valAx>
      <c:valAx>
        <c:axId val="481632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632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STDs!$B$24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399625859775657"/>
                  <c:y val="0.2198043829069093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STDs!$A$25:$A$32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xVal>
          <c:yVal>
            <c:numRef>
              <c:f>STDs!$B$25:$B$32</c:f>
              <c:numCache>
                <c:formatCode>General</c:formatCode>
                <c:ptCount val="8"/>
                <c:pt idx="0">
                  <c:v>5.1333333333333335E-2</c:v>
                </c:pt>
                <c:pt idx="1">
                  <c:v>0.15833333333333333</c:v>
                </c:pt>
                <c:pt idx="2">
                  <c:v>0.28466666666666662</c:v>
                </c:pt>
                <c:pt idx="3">
                  <c:v>0.68300000000000005</c:v>
                </c:pt>
                <c:pt idx="4">
                  <c:v>0.93533333333333335</c:v>
                </c:pt>
                <c:pt idx="5">
                  <c:v>1.5813333333333333</c:v>
                </c:pt>
                <c:pt idx="6">
                  <c:v>1.5640000000000001</c:v>
                </c:pt>
                <c:pt idx="7">
                  <c:v>1.5956666666666666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FA-4B89-89A8-0A2B171522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802184"/>
        <c:axId val="191795624"/>
      </c:scatterChart>
      <c:valAx>
        <c:axId val="191802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95624"/>
        <c:crosses val="autoZero"/>
        <c:crossBetween val="midCat"/>
      </c:valAx>
      <c:valAx>
        <c:axId val="191795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02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Plate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STDs!$B$35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3178260775746397E-2"/>
                  <c:y val="0.2564553895561514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STDs!$A$36:$A$43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xVal>
          <c:yVal>
            <c:numRef>
              <c:f>STDs!$B$36:$B$43</c:f>
              <c:numCache>
                <c:formatCode>General</c:formatCode>
                <c:ptCount val="8"/>
                <c:pt idx="0">
                  <c:v>5.000000000000001E-2</c:v>
                </c:pt>
                <c:pt idx="1">
                  <c:v>0.14266666666666669</c:v>
                </c:pt>
                <c:pt idx="2">
                  <c:v>0.30466666666666664</c:v>
                </c:pt>
                <c:pt idx="3">
                  <c:v>0.52266666666666672</c:v>
                </c:pt>
                <c:pt idx="4">
                  <c:v>0.98099999999999987</c:v>
                </c:pt>
                <c:pt idx="5">
                  <c:v>1.6243333333333334</c:v>
                </c:pt>
                <c:pt idx="6">
                  <c:v>1.6760000000000002</c:v>
                </c:pt>
                <c:pt idx="7">
                  <c:v>1.6006666666666665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0D-46A2-A558-BB5DF7F235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2227976"/>
        <c:axId val="532228960"/>
      </c:scatterChart>
      <c:valAx>
        <c:axId val="532227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228960"/>
        <c:crosses val="autoZero"/>
        <c:crossBetween val="midCat"/>
      </c:valAx>
      <c:valAx>
        <c:axId val="53222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227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Plate 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STDs!$B$46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4400930754368104E-2"/>
                  <c:y val="0.2578763446176323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STDs!$A$47:$A$54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xVal>
          <c:yVal>
            <c:numRef>
              <c:f>STDs!$B$47:$B$54</c:f>
              <c:numCache>
                <c:formatCode>General</c:formatCode>
                <c:ptCount val="8"/>
                <c:pt idx="0">
                  <c:v>5.000000000000001E-2</c:v>
                </c:pt>
                <c:pt idx="1">
                  <c:v>0.13233333333333333</c:v>
                </c:pt>
                <c:pt idx="2">
                  <c:v>0.27799999999999997</c:v>
                </c:pt>
                <c:pt idx="3">
                  <c:v>0.56933333333333336</c:v>
                </c:pt>
                <c:pt idx="4">
                  <c:v>0.93500000000000005</c:v>
                </c:pt>
                <c:pt idx="5">
                  <c:v>1.538</c:v>
                </c:pt>
                <c:pt idx="6">
                  <c:v>1.5203333333333333</c:v>
                </c:pt>
                <c:pt idx="7">
                  <c:v>1.6113333333333333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3E-47D5-AB94-F40A3CE87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6426488"/>
        <c:axId val="596426816"/>
      </c:scatterChart>
      <c:valAx>
        <c:axId val="596426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426816"/>
        <c:crosses val="autoZero"/>
        <c:crossBetween val="midCat"/>
      </c:valAx>
      <c:valAx>
        <c:axId val="59642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426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Plate 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STDs!$B$57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3678021827012417E-2"/>
                  <c:y val="0.2778763381026053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STDs!$A$58:$A$65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xVal>
          <c:yVal>
            <c:numRef>
              <c:f>STDs!$B$58:$B$65</c:f>
              <c:numCache>
                <c:formatCode>General</c:formatCode>
                <c:ptCount val="8"/>
                <c:pt idx="0">
                  <c:v>5.0666666666666665E-2</c:v>
                </c:pt>
                <c:pt idx="1">
                  <c:v>0.16633333333333333</c:v>
                </c:pt>
                <c:pt idx="2">
                  <c:v>0.27133333333333337</c:v>
                </c:pt>
                <c:pt idx="3">
                  <c:v>0.60966666666666669</c:v>
                </c:pt>
                <c:pt idx="4">
                  <c:v>1.0033333333333332</c:v>
                </c:pt>
                <c:pt idx="5">
                  <c:v>1.6366666666666667</c:v>
                </c:pt>
                <c:pt idx="6">
                  <c:v>1.514</c:v>
                </c:pt>
                <c:pt idx="7">
                  <c:v>1.5696666666666668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F7-4547-9E8C-26CE9183D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4765016"/>
        <c:axId val="596427144"/>
      </c:scatterChart>
      <c:valAx>
        <c:axId val="474765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427144"/>
        <c:crosses val="autoZero"/>
        <c:crossBetween val="midCat"/>
      </c:valAx>
      <c:valAx>
        <c:axId val="596427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765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133350</xdr:colOff>
      <xdr:row>1</xdr:row>
      <xdr:rowOff>42862</xdr:rowOff>
    </xdr:from>
    <xdr:to>
      <xdr:col>11</xdr:col>
      <xdr:colOff>47625</xdr:colOff>
      <xdr:row>10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CB96EC-7703-A547-8499-DD38A81F69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190500</xdr:colOff>
      <xdr:row>12</xdr:row>
      <xdr:rowOff>23813</xdr:rowOff>
    </xdr:from>
    <xdr:to>
      <xdr:col>11</xdr:col>
      <xdr:colOff>28575</xdr:colOff>
      <xdr:row>21</xdr:row>
      <xdr:rowOff>76201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0FF4F5-B8B7-D518-DFEF-CE4244B728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295275</xdr:colOff>
      <xdr:row>23</xdr:row>
      <xdr:rowOff>14287</xdr:rowOff>
    </xdr:from>
    <xdr:to>
      <xdr:col>11</xdr:col>
      <xdr:colOff>152400</xdr:colOff>
      <xdr:row>32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F48332F-6ECA-C4D0-2C6F-B48B4B92DA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128587</xdr:colOff>
      <xdr:row>33</xdr:row>
      <xdr:rowOff>176212</xdr:rowOff>
    </xdr:from>
    <xdr:to>
      <xdr:col>11</xdr:col>
      <xdr:colOff>85725</xdr:colOff>
      <xdr:row>43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F121687-F093-72F4-0A16-5F0E599EBC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247650</xdr:colOff>
      <xdr:row>45</xdr:row>
      <xdr:rowOff>38100</xdr:rowOff>
    </xdr:from>
    <xdr:to>
      <xdr:col>11</xdr:col>
      <xdr:colOff>200025</xdr:colOff>
      <xdr:row>54</xdr:row>
      <xdr:rowOff>42862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ABF8A93-A4F4-1DCF-DA4C-56349F8876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309562</xdr:colOff>
      <xdr:row>55</xdr:row>
      <xdr:rowOff>71437</xdr:rowOff>
    </xdr:from>
    <xdr:to>
      <xdr:col>11</xdr:col>
      <xdr:colOff>552450</xdr:colOff>
      <xdr:row>64</xdr:row>
      <xdr:rowOff>180975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C6F20BB-1F7B-3A81-8E61-807C379DCB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27927-43F9-4306-9FDA-F7D744CBEEB3}">
  <dimension ref="A1:E65"/>
  <sheetViews>
    <sheetView workbookViewId="0">
      <selection sqref="A1:XFD1048576"/>
    </sheetView>
  </sheetViews>
  <sheetFormatPr defaultRowHeight="15" x14ac:dyDescent="0.25"/>
  <sheetData>
    <row r="1" spans="1:5" x14ac:dyDescent="0.25">
      <c r="A1" s="1" t="s">
        <v>0</v>
      </c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>
        <v>0</v>
      </c>
      <c r="B3">
        <f>AVERAGE(C3:E3)</f>
        <v>4.7000000000000007E-2</v>
      </c>
      <c r="C3" s="4">
        <v>4.7E-2</v>
      </c>
      <c r="D3" s="4">
        <v>4.5999999999999999E-2</v>
      </c>
      <c r="E3" s="4">
        <v>4.8000000000000001E-2</v>
      </c>
    </row>
    <row r="4" spans="1:5" x14ac:dyDescent="0.25">
      <c r="A4">
        <v>5</v>
      </c>
      <c r="B4">
        <f t="shared" ref="B4:B10" si="0">AVERAGE(C4:E4)</f>
        <v>0.13433333333333333</v>
      </c>
      <c r="C4" s="4">
        <v>0.13900000000000001</v>
      </c>
      <c r="D4" s="4">
        <v>0.128</v>
      </c>
      <c r="E4" s="4">
        <v>0.13600000000000001</v>
      </c>
    </row>
    <row r="5" spans="1:5" x14ac:dyDescent="0.25">
      <c r="A5">
        <v>12.5</v>
      </c>
      <c r="B5">
        <f t="shared" si="0"/>
        <v>0.30933333333333329</v>
      </c>
      <c r="C5" s="4">
        <v>0.38900000000000001</v>
      </c>
      <c r="D5" s="4">
        <v>0.248</v>
      </c>
      <c r="E5" s="4">
        <v>0.29099999999999998</v>
      </c>
    </row>
    <row r="6" spans="1:5" x14ac:dyDescent="0.25">
      <c r="A6">
        <v>25</v>
      </c>
      <c r="B6">
        <f t="shared" si="0"/>
        <v>0.51133333333333331</v>
      </c>
      <c r="C6" s="4">
        <v>0.47599999999999998</v>
      </c>
      <c r="D6" s="4">
        <v>0.57699999999999996</v>
      </c>
      <c r="E6" s="4">
        <v>0.48099999999999998</v>
      </c>
    </row>
    <row r="7" spans="1:5" x14ac:dyDescent="0.25">
      <c r="A7">
        <v>50</v>
      </c>
      <c r="B7">
        <f t="shared" si="0"/>
        <v>0.9953333333333334</v>
      </c>
      <c r="C7" s="4">
        <v>1.1739999999999999</v>
      </c>
      <c r="D7" s="4">
        <v>0.89</v>
      </c>
      <c r="E7" s="4">
        <v>0.92200000000000004</v>
      </c>
    </row>
    <row r="8" spans="1:5" x14ac:dyDescent="0.25">
      <c r="A8">
        <v>100</v>
      </c>
      <c r="B8">
        <f t="shared" si="0"/>
        <v>1.6719999999999999</v>
      </c>
      <c r="C8" s="4">
        <v>1.7829999999999999</v>
      </c>
      <c r="D8" s="4">
        <v>1.5289999999999999</v>
      </c>
      <c r="E8" s="4">
        <v>1.704</v>
      </c>
    </row>
    <row r="9" spans="1:5" x14ac:dyDescent="0.25">
      <c r="A9">
        <v>100</v>
      </c>
      <c r="B9">
        <f t="shared" si="0"/>
        <v>1.6226666666666667</v>
      </c>
      <c r="C9" s="4">
        <v>1.7989999999999999</v>
      </c>
      <c r="D9" s="4">
        <v>1.367</v>
      </c>
      <c r="E9" s="4">
        <v>1.702</v>
      </c>
    </row>
    <row r="10" spans="1:5" x14ac:dyDescent="0.25">
      <c r="A10">
        <v>100</v>
      </c>
      <c r="B10">
        <f t="shared" si="0"/>
        <v>1.5353333333333332</v>
      </c>
      <c r="C10" s="4">
        <v>1.4710000000000001</v>
      </c>
      <c r="D10" s="4">
        <v>1.579</v>
      </c>
      <c r="E10" s="4">
        <v>1.556</v>
      </c>
    </row>
    <row r="12" spans="1:5" x14ac:dyDescent="0.25">
      <c r="A12" s="1" t="s">
        <v>6</v>
      </c>
    </row>
    <row r="13" spans="1:5" x14ac:dyDescent="0.25">
      <c r="A13" t="s">
        <v>1</v>
      </c>
      <c r="B13" t="s">
        <v>2</v>
      </c>
      <c r="C13" t="s">
        <v>3</v>
      </c>
      <c r="D13" t="s">
        <v>4</v>
      </c>
      <c r="E13" t="s">
        <v>5</v>
      </c>
    </row>
    <row r="14" spans="1:5" x14ac:dyDescent="0.25">
      <c r="A14">
        <v>0</v>
      </c>
      <c r="B14">
        <f>AVERAGE(C14:E14)</f>
        <v>5.0333333333333341E-2</v>
      </c>
      <c r="C14">
        <v>5.1999999999999998E-2</v>
      </c>
      <c r="D14">
        <v>4.9000000000000002E-2</v>
      </c>
      <c r="E14">
        <v>0.05</v>
      </c>
    </row>
    <row r="15" spans="1:5" x14ac:dyDescent="0.25">
      <c r="A15">
        <v>5</v>
      </c>
      <c r="B15">
        <f t="shared" ref="B15:B21" si="1">AVERAGE(C15:E15)</f>
        <v>0.13400000000000001</v>
      </c>
      <c r="C15">
        <v>0.14299999999999999</v>
      </c>
      <c r="D15">
        <v>0.124</v>
      </c>
      <c r="E15">
        <v>0.13500000000000001</v>
      </c>
    </row>
    <row r="16" spans="1:5" x14ac:dyDescent="0.25">
      <c r="A16">
        <v>12.5</v>
      </c>
      <c r="B16">
        <f t="shared" si="1"/>
        <v>0.309</v>
      </c>
      <c r="C16">
        <v>0.26</v>
      </c>
      <c r="D16">
        <v>0.27200000000000002</v>
      </c>
      <c r="E16">
        <v>0.39500000000000002</v>
      </c>
    </row>
    <row r="17" spans="1:5" x14ac:dyDescent="0.25">
      <c r="A17">
        <v>25</v>
      </c>
      <c r="B17">
        <f t="shared" si="1"/>
        <v>0.59100000000000008</v>
      </c>
      <c r="C17">
        <v>0.65600000000000003</v>
      </c>
      <c r="D17">
        <v>0.51900000000000002</v>
      </c>
      <c r="E17">
        <v>0.59799999999999998</v>
      </c>
    </row>
    <row r="18" spans="1:5" x14ac:dyDescent="0.25">
      <c r="A18">
        <v>50</v>
      </c>
      <c r="B18">
        <f t="shared" si="1"/>
        <v>0.97666666666666668</v>
      </c>
      <c r="C18">
        <v>1.0489999999999999</v>
      </c>
      <c r="D18">
        <v>0.89400000000000002</v>
      </c>
      <c r="E18">
        <v>0.98699999999999999</v>
      </c>
    </row>
    <row r="19" spans="1:5" x14ac:dyDescent="0.25">
      <c r="A19">
        <v>100</v>
      </c>
      <c r="B19">
        <f t="shared" si="1"/>
        <v>1.5999999999999999</v>
      </c>
      <c r="C19">
        <v>1.667</v>
      </c>
      <c r="D19">
        <v>1.569</v>
      </c>
      <c r="E19">
        <v>1.5640000000000001</v>
      </c>
    </row>
    <row r="20" spans="1:5" x14ac:dyDescent="0.25">
      <c r="A20">
        <v>100</v>
      </c>
      <c r="B20">
        <f t="shared" si="1"/>
        <v>1.5343333333333333</v>
      </c>
      <c r="C20">
        <v>1.42</v>
      </c>
      <c r="D20">
        <v>1.653</v>
      </c>
      <c r="E20">
        <v>1.53</v>
      </c>
    </row>
    <row r="21" spans="1:5" x14ac:dyDescent="0.25">
      <c r="A21">
        <v>100</v>
      </c>
      <c r="B21">
        <f t="shared" si="1"/>
        <v>1.5136666666666667</v>
      </c>
      <c r="C21">
        <v>1.4790000000000001</v>
      </c>
      <c r="D21">
        <v>1.4830000000000001</v>
      </c>
      <c r="E21">
        <v>1.579</v>
      </c>
    </row>
    <row r="23" spans="1:5" x14ac:dyDescent="0.25">
      <c r="A23" s="1" t="s">
        <v>7</v>
      </c>
    </row>
    <row r="24" spans="1:5" x14ac:dyDescent="0.25">
      <c r="A24" t="s">
        <v>1</v>
      </c>
      <c r="B24" t="s">
        <v>2</v>
      </c>
      <c r="C24" t="s">
        <v>3</v>
      </c>
      <c r="D24" t="s">
        <v>4</v>
      </c>
      <c r="E24" t="s">
        <v>5</v>
      </c>
    </row>
    <row r="25" spans="1:5" x14ac:dyDescent="0.25">
      <c r="A25">
        <v>0</v>
      </c>
      <c r="B25">
        <f>AVERAGE(C25:E25)</f>
        <v>5.1333333333333335E-2</v>
      </c>
      <c r="C25">
        <v>4.8000000000000001E-2</v>
      </c>
      <c r="D25">
        <v>5.2999999999999999E-2</v>
      </c>
      <c r="E25">
        <v>5.2999999999999999E-2</v>
      </c>
    </row>
    <row r="26" spans="1:5" x14ac:dyDescent="0.25">
      <c r="A26">
        <v>5</v>
      </c>
      <c r="B26">
        <f t="shared" ref="B26:B32" si="2">AVERAGE(C26:E26)</f>
        <v>0.15833333333333333</v>
      </c>
      <c r="C26">
        <v>0.157</v>
      </c>
      <c r="D26">
        <v>0.155</v>
      </c>
      <c r="E26">
        <v>0.16300000000000001</v>
      </c>
    </row>
    <row r="27" spans="1:5" x14ac:dyDescent="0.25">
      <c r="A27">
        <v>12.5</v>
      </c>
      <c r="B27">
        <f t="shared" si="2"/>
        <v>0.28466666666666662</v>
      </c>
      <c r="C27">
        <v>0.27400000000000002</v>
      </c>
      <c r="D27">
        <v>0.28899999999999998</v>
      </c>
      <c r="E27">
        <v>0.29099999999999998</v>
      </c>
    </row>
    <row r="28" spans="1:5" x14ac:dyDescent="0.25">
      <c r="A28">
        <v>25</v>
      </c>
      <c r="B28">
        <f>AVERAGE(C28,E28)</f>
        <v>0.68300000000000005</v>
      </c>
      <c r="C28">
        <v>0.68100000000000005</v>
      </c>
      <c r="D28" s="6">
        <v>0.75900000000000001</v>
      </c>
      <c r="E28">
        <v>0.68500000000000005</v>
      </c>
    </row>
    <row r="29" spans="1:5" x14ac:dyDescent="0.25">
      <c r="A29">
        <v>50</v>
      </c>
      <c r="B29">
        <f t="shared" si="2"/>
        <v>0.93533333333333335</v>
      </c>
      <c r="C29">
        <v>0.92500000000000004</v>
      </c>
      <c r="D29">
        <v>0.95499999999999996</v>
      </c>
      <c r="E29">
        <v>0.92600000000000005</v>
      </c>
    </row>
    <row r="30" spans="1:5" x14ac:dyDescent="0.25">
      <c r="A30">
        <v>100</v>
      </c>
      <c r="B30">
        <f t="shared" si="2"/>
        <v>1.5813333333333333</v>
      </c>
      <c r="C30">
        <v>1.571</v>
      </c>
      <c r="D30">
        <v>1.6419999999999999</v>
      </c>
      <c r="E30">
        <v>1.5309999999999999</v>
      </c>
    </row>
    <row r="31" spans="1:5" x14ac:dyDescent="0.25">
      <c r="A31">
        <v>100</v>
      </c>
      <c r="B31">
        <f t="shared" si="2"/>
        <v>1.5640000000000001</v>
      </c>
      <c r="C31">
        <v>1.583</v>
      </c>
      <c r="D31">
        <v>1.6240000000000001</v>
      </c>
      <c r="E31">
        <v>1.4850000000000001</v>
      </c>
    </row>
    <row r="32" spans="1:5" x14ac:dyDescent="0.25">
      <c r="A32">
        <v>100</v>
      </c>
      <c r="B32">
        <f t="shared" si="2"/>
        <v>1.5956666666666666</v>
      </c>
      <c r="C32">
        <v>1.478</v>
      </c>
      <c r="D32">
        <v>1.621</v>
      </c>
      <c r="E32">
        <v>1.6879999999999999</v>
      </c>
    </row>
    <row r="34" spans="1:5" x14ac:dyDescent="0.25">
      <c r="A34" s="1" t="s">
        <v>8</v>
      </c>
    </row>
    <row r="35" spans="1:5" x14ac:dyDescent="0.25">
      <c r="A35" t="s">
        <v>1</v>
      </c>
      <c r="B35" t="s">
        <v>2</v>
      </c>
      <c r="C35" t="s">
        <v>3</v>
      </c>
      <c r="D35" t="s">
        <v>4</v>
      </c>
      <c r="E35" t="s">
        <v>5</v>
      </c>
    </row>
    <row r="36" spans="1:5" x14ac:dyDescent="0.25">
      <c r="A36">
        <v>0</v>
      </c>
      <c r="B36">
        <f>AVERAGE(C36:E36)</f>
        <v>5.000000000000001E-2</v>
      </c>
      <c r="C36">
        <v>5.2999999999999999E-2</v>
      </c>
      <c r="D36">
        <v>4.9000000000000002E-2</v>
      </c>
      <c r="E36">
        <v>4.8000000000000001E-2</v>
      </c>
    </row>
    <row r="37" spans="1:5" x14ac:dyDescent="0.25">
      <c r="A37">
        <v>5</v>
      </c>
      <c r="B37">
        <f t="shared" ref="B37:B43" si="3">AVERAGE(C37:E37)</f>
        <v>0.14266666666666669</v>
      </c>
      <c r="C37">
        <v>0.13300000000000001</v>
      </c>
      <c r="D37">
        <v>0.16700000000000001</v>
      </c>
      <c r="E37">
        <v>0.128</v>
      </c>
    </row>
    <row r="38" spans="1:5" x14ac:dyDescent="0.25">
      <c r="A38">
        <v>12.5</v>
      </c>
      <c r="B38">
        <f t="shared" si="3"/>
        <v>0.30466666666666664</v>
      </c>
      <c r="C38">
        <v>0.26</v>
      </c>
      <c r="D38">
        <v>0.35899999999999999</v>
      </c>
      <c r="E38">
        <v>0.29499999999999998</v>
      </c>
    </row>
    <row r="39" spans="1:5" x14ac:dyDescent="0.25">
      <c r="A39">
        <v>25</v>
      </c>
      <c r="B39">
        <f t="shared" si="3"/>
        <v>0.52266666666666672</v>
      </c>
      <c r="C39">
        <v>0.55500000000000005</v>
      </c>
      <c r="D39">
        <v>0.46899999999999997</v>
      </c>
      <c r="E39">
        <v>0.54400000000000004</v>
      </c>
    </row>
    <row r="40" spans="1:5" x14ac:dyDescent="0.25">
      <c r="A40">
        <v>50</v>
      </c>
      <c r="B40">
        <f t="shared" si="3"/>
        <v>0.98099999999999987</v>
      </c>
      <c r="C40">
        <v>0.95399999999999996</v>
      </c>
      <c r="D40">
        <v>0.94199999999999995</v>
      </c>
      <c r="E40">
        <v>1.0469999999999999</v>
      </c>
    </row>
    <row r="41" spans="1:5" x14ac:dyDescent="0.25">
      <c r="A41">
        <v>100</v>
      </c>
      <c r="B41">
        <f t="shared" si="3"/>
        <v>1.6243333333333334</v>
      </c>
      <c r="C41">
        <v>1.595</v>
      </c>
      <c r="D41">
        <v>1.768</v>
      </c>
      <c r="E41">
        <v>1.51</v>
      </c>
    </row>
    <row r="42" spans="1:5" x14ac:dyDescent="0.25">
      <c r="A42">
        <v>100</v>
      </c>
      <c r="B42">
        <f t="shared" si="3"/>
        <v>1.6760000000000002</v>
      </c>
      <c r="C42">
        <v>1.657</v>
      </c>
      <c r="D42">
        <v>1.6850000000000001</v>
      </c>
      <c r="E42">
        <v>1.6859999999999999</v>
      </c>
    </row>
    <row r="43" spans="1:5" x14ac:dyDescent="0.25">
      <c r="A43">
        <v>100</v>
      </c>
      <c r="B43">
        <f t="shared" si="3"/>
        <v>1.6006666666666665</v>
      </c>
      <c r="C43">
        <v>1.546</v>
      </c>
      <c r="D43">
        <v>1.611</v>
      </c>
      <c r="E43">
        <v>1.645</v>
      </c>
    </row>
    <row r="45" spans="1:5" x14ac:dyDescent="0.25">
      <c r="A45" s="1" t="s">
        <v>9</v>
      </c>
    </row>
    <row r="46" spans="1:5" x14ac:dyDescent="0.25">
      <c r="A46" t="s">
        <v>1</v>
      </c>
      <c r="B46" t="s">
        <v>2</v>
      </c>
      <c r="C46" t="s">
        <v>3</v>
      </c>
      <c r="D46" t="s">
        <v>4</v>
      </c>
      <c r="E46" t="s">
        <v>5</v>
      </c>
    </row>
    <row r="47" spans="1:5" x14ac:dyDescent="0.25">
      <c r="A47">
        <v>0</v>
      </c>
      <c r="B47">
        <f>AVERAGE(C47:E47)</f>
        <v>5.000000000000001E-2</v>
      </c>
      <c r="C47">
        <v>0.05</v>
      </c>
      <c r="D47">
        <v>0.05</v>
      </c>
      <c r="E47">
        <v>0.05</v>
      </c>
    </row>
    <row r="48" spans="1:5" x14ac:dyDescent="0.25">
      <c r="A48">
        <v>5</v>
      </c>
      <c r="B48">
        <f t="shared" ref="B48:B54" si="4">AVERAGE(C48:E48)</f>
        <v>0.13233333333333333</v>
      </c>
      <c r="C48">
        <v>0.13700000000000001</v>
      </c>
      <c r="D48">
        <v>0.13300000000000001</v>
      </c>
      <c r="E48">
        <v>0.127</v>
      </c>
    </row>
    <row r="49" spans="1:5" x14ac:dyDescent="0.25">
      <c r="A49">
        <v>12.5</v>
      </c>
      <c r="B49">
        <f t="shared" si="4"/>
        <v>0.27799999999999997</v>
      </c>
      <c r="C49">
        <v>0.30299999999999999</v>
      </c>
      <c r="D49">
        <v>0.28000000000000003</v>
      </c>
      <c r="E49">
        <v>0.251</v>
      </c>
    </row>
    <row r="50" spans="1:5" x14ac:dyDescent="0.25">
      <c r="A50">
        <v>25</v>
      </c>
      <c r="B50">
        <f t="shared" si="4"/>
        <v>0.56933333333333336</v>
      </c>
      <c r="C50">
        <v>0.56999999999999995</v>
      </c>
      <c r="D50">
        <v>0.622</v>
      </c>
      <c r="E50">
        <v>0.51600000000000001</v>
      </c>
    </row>
    <row r="51" spans="1:5" x14ac:dyDescent="0.25">
      <c r="A51">
        <v>50</v>
      </c>
      <c r="B51">
        <f>AVERAGE(C51:D51)</f>
        <v>0.93500000000000005</v>
      </c>
      <c r="C51">
        <v>0.92</v>
      </c>
      <c r="D51">
        <v>0.95</v>
      </c>
      <c r="E51" s="6">
        <v>1.2430000000000001</v>
      </c>
    </row>
    <row r="52" spans="1:5" x14ac:dyDescent="0.25">
      <c r="A52">
        <v>100</v>
      </c>
      <c r="B52">
        <f t="shared" si="4"/>
        <v>1.538</v>
      </c>
      <c r="C52">
        <v>1.4119999999999999</v>
      </c>
      <c r="D52">
        <v>1.6519999999999999</v>
      </c>
      <c r="E52">
        <v>1.55</v>
      </c>
    </row>
    <row r="53" spans="1:5" x14ac:dyDescent="0.25">
      <c r="A53">
        <v>100</v>
      </c>
      <c r="B53">
        <f t="shared" si="4"/>
        <v>1.5203333333333333</v>
      </c>
      <c r="C53">
        <v>1.5609999999999999</v>
      </c>
      <c r="D53">
        <v>1.4530000000000001</v>
      </c>
      <c r="E53">
        <v>1.5469999999999999</v>
      </c>
    </row>
    <row r="54" spans="1:5" x14ac:dyDescent="0.25">
      <c r="A54">
        <v>100</v>
      </c>
      <c r="B54">
        <f t="shared" si="4"/>
        <v>1.6113333333333333</v>
      </c>
      <c r="C54">
        <v>1.6919999999999999</v>
      </c>
      <c r="D54">
        <v>1.5649999999999999</v>
      </c>
      <c r="E54">
        <v>1.577</v>
      </c>
    </row>
    <row r="56" spans="1:5" x14ac:dyDescent="0.25">
      <c r="A56" s="1" t="s">
        <v>10</v>
      </c>
    </row>
    <row r="57" spans="1:5" x14ac:dyDescent="0.25">
      <c r="A57" t="s">
        <v>1</v>
      </c>
      <c r="B57" t="s">
        <v>2</v>
      </c>
      <c r="C57" t="s">
        <v>3</v>
      </c>
      <c r="D57" t="s">
        <v>4</v>
      </c>
      <c r="E57" t="s">
        <v>5</v>
      </c>
    </row>
    <row r="58" spans="1:5" x14ac:dyDescent="0.25">
      <c r="A58">
        <v>0</v>
      </c>
      <c r="B58">
        <f>AVERAGE(C58:E58)</f>
        <v>5.0666666666666665E-2</v>
      </c>
      <c r="C58">
        <v>5.0999999999999997E-2</v>
      </c>
      <c r="D58">
        <v>0.05</v>
      </c>
      <c r="E58">
        <v>5.0999999999999997E-2</v>
      </c>
    </row>
    <row r="59" spans="1:5" x14ac:dyDescent="0.25">
      <c r="A59">
        <v>5</v>
      </c>
      <c r="B59">
        <f t="shared" ref="B59:B65" si="5">AVERAGE(C59:E59)</f>
        <v>0.16633333333333333</v>
      </c>
      <c r="C59">
        <v>0.189</v>
      </c>
      <c r="D59">
        <v>0.16800000000000001</v>
      </c>
      <c r="E59">
        <v>0.14199999999999999</v>
      </c>
    </row>
    <row r="60" spans="1:5" x14ac:dyDescent="0.25">
      <c r="A60">
        <v>12.5</v>
      </c>
      <c r="B60">
        <f t="shared" si="5"/>
        <v>0.27133333333333337</v>
      </c>
      <c r="C60">
        <v>0.25600000000000001</v>
      </c>
      <c r="D60">
        <v>0.26</v>
      </c>
      <c r="E60">
        <v>0.29799999999999999</v>
      </c>
    </row>
    <row r="61" spans="1:5" x14ac:dyDescent="0.25">
      <c r="A61">
        <v>25</v>
      </c>
      <c r="B61">
        <f t="shared" si="5"/>
        <v>0.60966666666666669</v>
      </c>
      <c r="C61">
        <v>0.59899999999999998</v>
      </c>
      <c r="D61">
        <v>0.59099999999999997</v>
      </c>
      <c r="E61">
        <v>0.63900000000000001</v>
      </c>
    </row>
    <row r="62" spans="1:5" x14ac:dyDescent="0.25">
      <c r="A62">
        <v>50</v>
      </c>
      <c r="B62">
        <f t="shared" si="5"/>
        <v>1.0033333333333332</v>
      </c>
      <c r="C62">
        <v>0.97799999999999998</v>
      </c>
      <c r="D62">
        <v>1.0169999999999999</v>
      </c>
      <c r="E62">
        <v>1.0149999999999999</v>
      </c>
    </row>
    <row r="63" spans="1:5" x14ac:dyDescent="0.25">
      <c r="A63">
        <v>100</v>
      </c>
      <c r="B63">
        <f t="shared" si="5"/>
        <v>1.6366666666666667</v>
      </c>
      <c r="C63">
        <v>1.639</v>
      </c>
      <c r="D63">
        <v>1.603</v>
      </c>
      <c r="E63">
        <v>1.6679999999999999</v>
      </c>
    </row>
    <row r="64" spans="1:5" x14ac:dyDescent="0.25">
      <c r="A64">
        <v>100</v>
      </c>
      <c r="B64">
        <f t="shared" si="5"/>
        <v>1.514</v>
      </c>
      <c r="C64">
        <v>1.5329999999999999</v>
      </c>
      <c r="D64">
        <v>1.4330000000000001</v>
      </c>
      <c r="E64">
        <v>1.5760000000000001</v>
      </c>
    </row>
    <row r="65" spans="1:5" x14ac:dyDescent="0.25">
      <c r="A65">
        <v>100</v>
      </c>
      <c r="B65">
        <f t="shared" si="5"/>
        <v>1.5696666666666668</v>
      </c>
      <c r="C65">
        <v>1.5329999999999999</v>
      </c>
      <c r="D65">
        <v>1.5580000000000001</v>
      </c>
      <c r="E65">
        <v>1.6180000000000001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85A57-A1F1-4412-A9A9-DD92A99EEE7D}">
  <dimension ref="A1:N39"/>
  <sheetViews>
    <sheetView workbookViewId="0">
      <selection sqref="A1:XFD1048576"/>
    </sheetView>
  </sheetViews>
  <sheetFormatPr defaultRowHeight="15" x14ac:dyDescent="0.25"/>
  <sheetData>
    <row r="1" spans="1:14" x14ac:dyDescent="0.25">
      <c r="A1" s="2" t="s">
        <v>3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</row>
    <row r="2" spans="1:14" x14ac:dyDescent="0.25">
      <c r="A2" s="3" t="s">
        <v>11</v>
      </c>
      <c r="B2" s="4">
        <v>4.7E-2</v>
      </c>
      <c r="C2" s="4">
        <v>4.5999999999999999E-2</v>
      </c>
      <c r="D2" s="4">
        <v>4.8000000000000001E-2</v>
      </c>
      <c r="E2" s="4">
        <v>5.0999999999999997E-2</v>
      </c>
      <c r="F2" s="4">
        <v>0.05</v>
      </c>
      <c r="G2" s="4">
        <v>5.0999999999999997E-2</v>
      </c>
      <c r="H2" s="4">
        <v>0.184</v>
      </c>
      <c r="I2" s="4">
        <v>0.192</v>
      </c>
      <c r="J2" s="4">
        <v>0.19400000000000001</v>
      </c>
      <c r="K2" s="4">
        <v>3.2320000000000002</v>
      </c>
      <c r="L2" s="4">
        <v>3.1019999999999999</v>
      </c>
      <c r="M2" s="4">
        <v>3.2029999999999998</v>
      </c>
      <c r="N2" s="5">
        <v>670</v>
      </c>
    </row>
    <row r="3" spans="1:14" x14ac:dyDescent="0.25">
      <c r="A3" s="3" t="s">
        <v>12</v>
      </c>
      <c r="B3" s="4">
        <v>0.13900000000000001</v>
      </c>
      <c r="C3" s="4">
        <v>0.128</v>
      </c>
      <c r="D3" s="4">
        <v>0.13600000000000001</v>
      </c>
      <c r="E3" s="4">
        <v>0.05</v>
      </c>
      <c r="F3" s="4">
        <v>0.05</v>
      </c>
      <c r="G3" s="4">
        <v>5.1999999999999998E-2</v>
      </c>
      <c r="H3" s="4">
        <v>7.6999999999999999E-2</v>
      </c>
      <c r="I3" s="4">
        <v>7.9000000000000001E-2</v>
      </c>
      <c r="J3" s="4">
        <v>7.5999999999999998E-2</v>
      </c>
      <c r="K3" s="4">
        <v>3.03</v>
      </c>
      <c r="L3" s="4">
        <v>2.633</v>
      </c>
      <c r="M3" s="4">
        <v>3.1589999999999998</v>
      </c>
      <c r="N3" s="5">
        <v>670</v>
      </c>
    </row>
    <row r="4" spans="1:14" x14ac:dyDescent="0.25">
      <c r="A4" s="3" t="s">
        <v>13</v>
      </c>
      <c r="B4" s="4">
        <v>0.38900000000000001</v>
      </c>
      <c r="C4" s="4">
        <v>0.248</v>
      </c>
      <c r="D4" s="4">
        <v>0.29099999999999998</v>
      </c>
      <c r="E4" s="4">
        <v>4.8000000000000001E-2</v>
      </c>
      <c r="F4" s="4">
        <v>5.0999999999999997E-2</v>
      </c>
      <c r="G4" s="4">
        <v>5.1999999999999998E-2</v>
      </c>
      <c r="H4" s="4">
        <v>5.3999999999999999E-2</v>
      </c>
      <c r="I4" s="4">
        <v>5.3999999999999999E-2</v>
      </c>
      <c r="J4" s="4">
        <v>5.3999999999999999E-2</v>
      </c>
      <c r="K4" s="4">
        <v>2.7290000000000001</v>
      </c>
      <c r="L4" s="4">
        <v>2.4849999999999999</v>
      </c>
      <c r="M4" s="4">
        <v>2.738</v>
      </c>
      <c r="N4" s="5">
        <v>670</v>
      </c>
    </row>
    <row r="5" spans="1:14" x14ac:dyDescent="0.25">
      <c r="A5" s="3" t="s">
        <v>14</v>
      </c>
      <c r="B5" s="4">
        <v>0.47599999999999998</v>
      </c>
      <c r="C5" s="4">
        <v>0.57699999999999996</v>
      </c>
      <c r="D5" s="4">
        <v>0.48099999999999998</v>
      </c>
      <c r="E5" s="4">
        <v>0.05</v>
      </c>
      <c r="F5" s="4">
        <v>5.0999999999999997E-2</v>
      </c>
      <c r="G5" s="4">
        <v>0.05</v>
      </c>
      <c r="H5" s="4">
        <v>0.18</v>
      </c>
      <c r="I5" s="4">
        <v>0.19700000000000001</v>
      </c>
      <c r="J5" s="4">
        <v>0.183</v>
      </c>
      <c r="K5" s="4">
        <v>3.1179999999999999</v>
      </c>
      <c r="L5" s="4">
        <v>3.1509999999999998</v>
      </c>
      <c r="M5" s="4">
        <v>3.1709999999999998</v>
      </c>
      <c r="N5" s="5">
        <v>670</v>
      </c>
    </row>
    <row r="6" spans="1:14" x14ac:dyDescent="0.25">
      <c r="A6" s="3" t="s">
        <v>15</v>
      </c>
      <c r="B6" s="4">
        <v>1.1739999999999999</v>
      </c>
      <c r="C6" s="4">
        <v>0.89</v>
      </c>
      <c r="D6" s="4">
        <v>0.92200000000000004</v>
      </c>
      <c r="E6" s="4">
        <v>6.3E-2</v>
      </c>
      <c r="F6" s="4">
        <v>5.0999999999999997E-2</v>
      </c>
      <c r="G6" s="4">
        <v>0.05</v>
      </c>
      <c r="H6" s="4">
        <v>0.20399999999999999</v>
      </c>
      <c r="I6" s="4">
        <v>0.19700000000000001</v>
      </c>
      <c r="J6" s="4">
        <v>0.19400000000000001</v>
      </c>
      <c r="K6" s="4">
        <v>3.161</v>
      </c>
      <c r="L6" s="4">
        <v>3.0339999999999998</v>
      </c>
      <c r="M6" s="4">
        <v>2.871</v>
      </c>
      <c r="N6" s="5">
        <v>670</v>
      </c>
    </row>
    <row r="7" spans="1:14" x14ac:dyDescent="0.25">
      <c r="A7" s="3" t="s">
        <v>16</v>
      </c>
      <c r="B7" s="4">
        <v>1.7829999999999999</v>
      </c>
      <c r="C7" s="4">
        <v>1.5289999999999999</v>
      </c>
      <c r="D7" s="4">
        <v>1.704</v>
      </c>
      <c r="E7" s="4">
        <v>4.7E-2</v>
      </c>
      <c r="F7" s="4">
        <v>5.0999999999999997E-2</v>
      </c>
      <c r="G7" s="4">
        <v>0.05</v>
      </c>
      <c r="H7" s="4">
        <v>8.3000000000000004E-2</v>
      </c>
      <c r="I7" s="4">
        <v>8.4000000000000005E-2</v>
      </c>
      <c r="J7" s="4">
        <v>8.3000000000000004E-2</v>
      </c>
      <c r="K7" s="4">
        <v>2.6259999999999999</v>
      </c>
      <c r="L7" s="4">
        <v>2.5840000000000001</v>
      </c>
      <c r="M7" s="4">
        <v>2.7029999999999998</v>
      </c>
      <c r="N7" s="5">
        <v>670</v>
      </c>
    </row>
    <row r="8" spans="1:14" x14ac:dyDescent="0.25">
      <c r="A8" s="3" t="s">
        <v>17</v>
      </c>
      <c r="B8" s="4">
        <v>1.7989999999999999</v>
      </c>
      <c r="C8" s="4">
        <v>1.367</v>
      </c>
      <c r="D8" s="4">
        <v>1.702</v>
      </c>
      <c r="E8" s="4">
        <v>7.2999999999999995E-2</v>
      </c>
      <c r="F8" s="4">
        <v>7.0999999999999994E-2</v>
      </c>
      <c r="G8" s="4">
        <v>7.0999999999999994E-2</v>
      </c>
      <c r="H8" s="4">
        <v>0.313</v>
      </c>
      <c r="I8" s="4">
        <v>0.35599999999999998</v>
      </c>
      <c r="J8" s="4">
        <v>0.36699999999999999</v>
      </c>
      <c r="K8" s="4">
        <v>3.2189999999999999</v>
      </c>
      <c r="L8" s="4">
        <v>3.1419999999999999</v>
      </c>
      <c r="M8" s="4">
        <v>3.0339999999999998</v>
      </c>
      <c r="N8" s="5">
        <v>670</v>
      </c>
    </row>
    <row r="9" spans="1:14" x14ac:dyDescent="0.25">
      <c r="A9" s="3" t="s">
        <v>18</v>
      </c>
      <c r="B9" s="4">
        <v>1.4710000000000001</v>
      </c>
      <c r="C9" s="4">
        <v>1.579</v>
      </c>
      <c r="D9" s="4">
        <v>1.556</v>
      </c>
      <c r="E9" s="4">
        <v>5.6000000000000001E-2</v>
      </c>
      <c r="F9" s="4">
        <v>5.6000000000000001E-2</v>
      </c>
      <c r="G9" s="4">
        <v>5.7000000000000002E-2</v>
      </c>
      <c r="H9" s="4">
        <v>5.8000000000000003E-2</v>
      </c>
      <c r="I9" s="4">
        <v>7.0999999999999994E-2</v>
      </c>
      <c r="J9" s="4">
        <v>5.8999999999999997E-2</v>
      </c>
      <c r="K9" s="4">
        <v>3.0110000000000001</v>
      </c>
      <c r="L9" s="4">
        <v>2.9910000000000001</v>
      </c>
      <c r="M9" s="4">
        <v>2.911</v>
      </c>
      <c r="N9" s="5">
        <v>670</v>
      </c>
    </row>
    <row r="11" spans="1:14" x14ac:dyDescent="0.25">
      <c r="A11" s="2" t="s">
        <v>19</v>
      </c>
      <c r="B11" s="3">
        <v>1</v>
      </c>
      <c r="C11" s="3">
        <v>2</v>
      </c>
      <c r="D11" s="3">
        <v>3</v>
      </c>
      <c r="E11" s="3">
        <v>4</v>
      </c>
      <c r="F11" s="3">
        <v>5</v>
      </c>
      <c r="G11" s="3">
        <v>6</v>
      </c>
      <c r="H11" s="3">
        <v>7</v>
      </c>
      <c r="I11" s="3">
        <v>8</v>
      </c>
      <c r="J11" s="3">
        <v>9</v>
      </c>
      <c r="K11" s="3">
        <v>10</v>
      </c>
      <c r="L11" s="3">
        <v>11</v>
      </c>
      <c r="M11" s="3">
        <v>12</v>
      </c>
    </row>
    <row r="12" spans="1:14" x14ac:dyDescent="0.25">
      <c r="A12" s="3" t="s">
        <v>11</v>
      </c>
      <c r="B12" t="s">
        <v>21</v>
      </c>
      <c r="C12" t="s">
        <v>21</v>
      </c>
      <c r="D12" t="s">
        <v>21</v>
      </c>
      <c r="E12" t="s">
        <v>29</v>
      </c>
      <c r="F12" t="s">
        <v>29</v>
      </c>
      <c r="G12" t="s">
        <v>29</v>
      </c>
      <c r="H12" t="s">
        <v>37</v>
      </c>
      <c r="I12" t="s">
        <v>37</v>
      </c>
      <c r="J12" t="s">
        <v>37</v>
      </c>
      <c r="K12" t="s">
        <v>45</v>
      </c>
      <c r="L12" t="s">
        <v>45</v>
      </c>
      <c r="M12" t="s">
        <v>45</v>
      </c>
    </row>
    <row r="13" spans="1:14" x14ac:dyDescent="0.25">
      <c r="A13" s="3" t="s">
        <v>12</v>
      </c>
      <c r="B13" t="s">
        <v>22</v>
      </c>
      <c r="C13" t="s">
        <v>22</v>
      </c>
      <c r="D13" t="s">
        <v>22</v>
      </c>
      <c r="E13" t="s">
        <v>32</v>
      </c>
      <c r="F13" t="s">
        <v>32</v>
      </c>
      <c r="G13" t="s">
        <v>32</v>
      </c>
      <c r="H13" t="s">
        <v>38</v>
      </c>
      <c r="I13" t="s">
        <v>38</v>
      </c>
      <c r="J13" t="s">
        <v>38</v>
      </c>
      <c r="K13" t="s">
        <v>51</v>
      </c>
      <c r="L13" t="s">
        <v>51</v>
      </c>
      <c r="M13" t="s">
        <v>51</v>
      </c>
    </row>
    <row r="14" spans="1:14" x14ac:dyDescent="0.25">
      <c r="A14" s="3" t="s">
        <v>13</v>
      </c>
      <c r="B14" t="s">
        <v>23</v>
      </c>
      <c r="C14" t="s">
        <v>23</v>
      </c>
      <c r="D14" t="s">
        <v>23</v>
      </c>
      <c r="E14" t="s">
        <v>30</v>
      </c>
      <c r="F14" t="s">
        <v>30</v>
      </c>
      <c r="G14" t="s">
        <v>30</v>
      </c>
      <c r="H14" t="s">
        <v>39</v>
      </c>
      <c r="I14" t="s">
        <v>39</v>
      </c>
      <c r="J14" t="s">
        <v>39</v>
      </c>
      <c r="K14" t="s">
        <v>50</v>
      </c>
      <c r="L14" t="s">
        <v>50</v>
      </c>
      <c r="M14" t="s">
        <v>50</v>
      </c>
    </row>
    <row r="15" spans="1:14" x14ac:dyDescent="0.25">
      <c r="A15" s="3" t="s">
        <v>14</v>
      </c>
      <c r="B15" t="s">
        <v>24</v>
      </c>
      <c r="C15" t="s">
        <v>24</v>
      </c>
      <c r="D15" t="s">
        <v>24</v>
      </c>
      <c r="E15" t="s">
        <v>33</v>
      </c>
      <c r="F15" t="s">
        <v>33</v>
      </c>
      <c r="G15" t="s">
        <v>33</v>
      </c>
      <c r="H15" t="s">
        <v>40</v>
      </c>
      <c r="I15" t="s">
        <v>40</v>
      </c>
      <c r="J15" t="s">
        <v>40</v>
      </c>
      <c r="K15" t="s">
        <v>52</v>
      </c>
      <c r="L15" t="s">
        <v>52</v>
      </c>
      <c r="M15" t="s">
        <v>52</v>
      </c>
    </row>
    <row r="16" spans="1:14" x14ac:dyDescent="0.25">
      <c r="A16" s="3" t="s">
        <v>15</v>
      </c>
      <c r="B16" t="s">
        <v>25</v>
      </c>
      <c r="C16" t="s">
        <v>25</v>
      </c>
      <c r="D16" t="s">
        <v>25</v>
      </c>
      <c r="E16" t="s">
        <v>31</v>
      </c>
      <c r="F16" t="s">
        <v>31</v>
      </c>
      <c r="G16" t="s">
        <v>31</v>
      </c>
      <c r="H16" t="s">
        <v>41</v>
      </c>
      <c r="I16" t="s">
        <v>41</v>
      </c>
      <c r="J16" t="s">
        <v>41</v>
      </c>
      <c r="K16" t="s">
        <v>46</v>
      </c>
      <c r="L16" t="s">
        <v>46</v>
      </c>
      <c r="M16" t="s">
        <v>46</v>
      </c>
    </row>
    <row r="17" spans="1:13" x14ac:dyDescent="0.25">
      <c r="A17" s="3" t="s">
        <v>16</v>
      </c>
      <c r="B17" t="s">
        <v>26</v>
      </c>
      <c r="C17" t="s">
        <v>26</v>
      </c>
      <c r="D17" t="s">
        <v>26</v>
      </c>
      <c r="E17" t="s">
        <v>34</v>
      </c>
      <c r="F17" t="s">
        <v>34</v>
      </c>
      <c r="G17" t="s">
        <v>34</v>
      </c>
      <c r="H17" t="s">
        <v>42</v>
      </c>
      <c r="I17" t="s">
        <v>42</v>
      </c>
      <c r="J17" t="s">
        <v>42</v>
      </c>
      <c r="K17" t="s">
        <v>47</v>
      </c>
      <c r="L17" t="s">
        <v>47</v>
      </c>
      <c r="M17" t="s">
        <v>47</v>
      </c>
    </row>
    <row r="18" spans="1:13" x14ac:dyDescent="0.25">
      <c r="A18" s="3" t="s">
        <v>17</v>
      </c>
      <c r="B18" t="s">
        <v>27</v>
      </c>
      <c r="C18" t="s">
        <v>27</v>
      </c>
      <c r="D18" t="s">
        <v>27</v>
      </c>
      <c r="E18" t="s">
        <v>35</v>
      </c>
      <c r="F18" t="s">
        <v>35</v>
      </c>
      <c r="G18" t="s">
        <v>35</v>
      </c>
      <c r="H18" t="s">
        <v>43</v>
      </c>
      <c r="I18" t="s">
        <v>43</v>
      </c>
      <c r="J18" t="s">
        <v>43</v>
      </c>
      <c r="K18" t="s">
        <v>48</v>
      </c>
      <c r="L18" t="s">
        <v>48</v>
      </c>
      <c r="M18" t="s">
        <v>48</v>
      </c>
    </row>
    <row r="19" spans="1:13" x14ac:dyDescent="0.25">
      <c r="A19" s="3" t="s">
        <v>18</v>
      </c>
      <c r="B19" t="s">
        <v>28</v>
      </c>
      <c r="C19" t="s">
        <v>28</v>
      </c>
      <c r="D19" t="s">
        <v>28</v>
      </c>
      <c r="E19" t="s">
        <v>36</v>
      </c>
      <c r="F19" t="s">
        <v>36</v>
      </c>
      <c r="G19" t="s">
        <v>36</v>
      </c>
      <c r="H19" t="s">
        <v>44</v>
      </c>
      <c r="I19" t="s">
        <v>44</v>
      </c>
      <c r="J19" t="s">
        <v>44</v>
      </c>
      <c r="K19" t="s">
        <v>49</v>
      </c>
      <c r="L19" t="s">
        <v>49</v>
      </c>
      <c r="M19" t="s">
        <v>49</v>
      </c>
    </row>
    <row r="21" spans="1:13" ht="30" x14ac:dyDescent="0.25">
      <c r="A21" s="2" t="s">
        <v>20</v>
      </c>
      <c r="B21" s="3">
        <v>1</v>
      </c>
      <c r="C21" s="3">
        <v>2</v>
      </c>
      <c r="D21" s="3">
        <v>3</v>
      </c>
      <c r="E21" s="3">
        <v>4</v>
      </c>
      <c r="F21" s="3">
        <v>5</v>
      </c>
      <c r="G21" s="3">
        <v>6</v>
      </c>
      <c r="H21" s="3">
        <v>7</v>
      </c>
      <c r="I21" s="3">
        <v>8</v>
      </c>
      <c r="J21" s="3">
        <v>9</v>
      </c>
      <c r="K21" s="3">
        <v>10</v>
      </c>
      <c r="L21" s="3">
        <v>11</v>
      </c>
      <c r="M21" s="3">
        <v>12</v>
      </c>
    </row>
    <row r="22" spans="1:13" x14ac:dyDescent="0.25">
      <c r="A22" s="3" t="s">
        <v>11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</row>
    <row r="23" spans="1:13" x14ac:dyDescent="0.25">
      <c r="A23" s="3" t="s">
        <v>12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</row>
    <row r="24" spans="1:13" x14ac:dyDescent="0.25">
      <c r="A24" s="3" t="s">
        <v>13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</row>
    <row r="25" spans="1:13" x14ac:dyDescent="0.25">
      <c r="A25" s="3" t="s">
        <v>14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</row>
    <row r="26" spans="1:13" x14ac:dyDescent="0.25">
      <c r="A26" s="3" t="s">
        <v>15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</row>
    <row r="27" spans="1:13" x14ac:dyDescent="0.25">
      <c r="A27" s="3" t="s">
        <v>16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</row>
    <row r="28" spans="1:13" x14ac:dyDescent="0.25">
      <c r="A28" s="3" t="s">
        <v>17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</row>
    <row r="29" spans="1:13" x14ac:dyDescent="0.25">
      <c r="A29" s="3" t="s">
        <v>18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A53E1-D196-4F41-8D75-3B7FBA5C2A30}">
  <dimension ref="A1:N29"/>
  <sheetViews>
    <sheetView topLeftCell="A7" workbookViewId="0">
      <selection activeCell="A7" sqref="A1:XFD1048576"/>
    </sheetView>
  </sheetViews>
  <sheetFormatPr defaultRowHeight="15" x14ac:dyDescent="0.25"/>
  <sheetData>
    <row r="1" spans="1:14" x14ac:dyDescent="0.25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</row>
    <row r="2" spans="1:14" x14ac:dyDescent="0.25">
      <c r="A2" s="3" t="s">
        <v>11</v>
      </c>
      <c r="B2" s="4">
        <v>5.1999999999999998E-2</v>
      </c>
      <c r="C2" s="4">
        <v>4.9000000000000002E-2</v>
      </c>
      <c r="D2" s="4">
        <v>0.05</v>
      </c>
      <c r="E2" s="4">
        <v>1.0660000000000001</v>
      </c>
      <c r="F2" s="4">
        <v>1.0620000000000001</v>
      </c>
      <c r="G2" s="4">
        <v>1.135</v>
      </c>
      <c r="H2" s="4">
        <v>0.06</v>
      </c>
      <c r="I2" s="4">
        <v>5.7000000000000002E-2</v>
      </c>
      <c r="J2" s="4">
        <v>5.7000000000000002E-2</v>
      </c>
      <c r="K2" s="4">
        <v>8.5999999999999993E-2</v>
      </c>
      <c r="L2" s="4">
        <v>8.7999999999999995E-2</v>
      </c>
      <c r="M2" s="4">
        <v>8.2000000000000003E-2</v>
      </c>
      <c r="N2" s="5">
        <v>670</v>
      </c>
    </row>
    <row r="3" spans="1:14" x14ac:dyDescent="0.25">
      <c r="A3" s="3" t="s">
        <v>12</v>
      </c>
      <c r="B3" s="4">
        <v>0.14299999999999999</v>
      </c>
      <c r="C3" s="4">
        <v>0.124</v>
      </c>
      <c r="D3" s="4">
        <v>0.13500000000000001</v>
      </c>
      <c r="E3" s="4">
        <v>6.2E-2</v>
      </c>
      <c r="F3" s="4">
        <v>6.0999999999999999E-2</v>
      </c>
      <c r="G3" s="4">
        <v>6.3E-2</v>
      </c>
      <c r="H3" s="4">
        <v>0.09</v>
      </c>
      <c r="I3" s="4">
        <v>9.2999999999999999E-2</v>
      </c>
      <c r="J3" s="4">
        <v>9.2999999999999999E-2</v>
      </c>
      <c r="K3" s="4">
        <v>0.28899999999999998</v>
      </c>
      <c r="L3" s="4">
        <v>0.25900000000000001</v>
      </c>
      <c r="M3" s="4">
        <v>0.28199999999999997</v>
      </c>
      <c r="N3" s="5">
        <v>670</v>
      </c>
    </row>
    <row r="4" spans="1:14" x14ac:dyDescent="0.25">
      <c r="A4" s="3" t="s">
        <v>13</v>
      </c>
      <c r="B4" s="4">
        <v>0.26</v>
      </c>
      <c r="C4" s="4">
        <v>0.27200000000000002</v>
      </c>
      <c r="D4" s="4">
        <v>0.39500000000000002</v>
      </c>
      <c r="E4" s="4">
        <v>5.8999999999999997E-2</v>
      </c>
      <c r="F4" s="4">
        <v>0.06</v>
      </c>
      <c r="G4" s="4">
        <v>5.8999999999999997E-2</v>
      </c>
      <c r="H4" s="4">
        <v>0.151</v>
      </c>
      <c r="I4" s="4">
        <v>0.156</v>
      </c>
      <c r="J4" s="4">
        <v>0.154</v>
      </c>
      <c r="K4" s="4">
        <v>0.24299999999999999</v>
      </c>
      <c r="L4" s="4">
        <v>0.23</v>
      </c>
      <c r="M4" s="4">
        <v>0.217</v>
      </c>
      <c r="N4" s="5">
        <v>670</v>
      </c>
    </row>
    <row r="5" spans="1:14" x14ac:dyDescent="0.25">
      <c r="A5" s="3" t="s">
        <v>14</v>
      </c>
      <c r="B5" s="4">
        <v>0.65600000000000003</v>
      </c>
      <c r="C5" s="4">
        <v>0.51900000000000002</v>
      </c>
      <c r="D5" s="4">
        <v>0.59799999999999998</v>
      </c>
      <c r="E5" s="4">
        <v>5.7000000000000002E-2</v>
      </c>
      <c r="F5" s="4">
        <v>6.5000000000000002E-2</v>
      </c>
      <c r="G5" s="4">
        <v>5.7000000000000002E-2</v>
      </c>
      <c r="H5" s="4">
        <v>6.0999999999999999E-2</v>
      </c>
      <c r="I5" s="4">
        <v>6.0999999999999999E-2</v>
      </c>
      <c r="J5" s="4">
        <v>6.3E-2</v>
      </c>
      <c r="K5" s="4">
        <v>0.129</v>
      </c>
      <c r="L5" s="4">
        <v>0.122</v>
      </c>
      <c r="M5" s="4">
        <v>0.125</v>
      </c>
      <c r="N5" s="5">
        <v>670</v>
      </c>
    </row>
    <row r="6" spans="1:14" x14ac:dyDescent="0.25">
      <c r="A6" s="3" t="s">
        <v>15</v>
      </c>
      <c r="B6" s="4">
        <v>1.0489999999999999</v>
      </c>
      <c r="C6" s="4">
        <v>0.89400000000000002</v>
      </c>
      <c r="D6" s="4">
        <v>0.98699999999999999</v>
      </c>
      <c r="E6" s="4">
        <v>5.7000000000000002E-2</v>
      </c>
      <c r="F6" s="4">
        <v>8.2000000000000003E-2</v>
      </c>
      <c r="G6" s="4">
        <v>5.1999999999999998E-2</v>
      </c>
      <c r="H6" s="4">
        <v>6.0999999999999999E-2</v>
      </c>
      <c r="I6" s="4">
        <v>6.2E-2</v>
      </c>
      <c r="J6" s="4">
        <v>6.2E-2</v>
      </c>
      <c r="K6" s="4">
        <v>0.19700000000000001</v>
      </c>
      <c r="L6" s="4">
        <v>0.193</v>
      </c>
      <c r="M6" s="4">
        <v>0.186</v>
      </c>
      <c r="N6" s="5">
        <v>670</v>
      </c>
    </row>
    <row r="7" spans="1:14" x14ac:dyDescent="0.25">
      <c r="A7" s="3" t="s">
        <v>16</v>
      </c>
      <c r="B7" s="4">
        <v>1.667</v>
      </c>
      <c r="C7" s="4">
        <v>1.569</v>
      </c>
      <c r="D7" s="4">
        <v>1.5640000000000001</v>
      </c>
      <c r="E7" s="4">
        <v>6.0999999999999999E-2</v>
      </c>
      <c r="F7" s="4">
        <v>5.8000000000000003E-2</v>
      </c>
      <c r="G7" s="4">
        <v>9.4E-2</v>
      </c>
      <c r="H7" s="4">
        <v>0.14099999999999999</v>
      </c>
      <c r="I7" s="4">
        <v>0.14399999999999999</v>
      </c>
      <c r="J7" s="4">
        <v>0.156</v>
      </c>
      <c r="K7" s="4">
        <v>5.6000000000000001E-2</v>
      </c>
      <c r="L7" s="4">
        <v>5.8000000000000003E-2</v>
      </c>
      <c r="M7" s="4">
        <v>5.8000000000000003E-2</v>
      </c>
      <c r="N7" s="5">
        <v>670</v>
      </c>
    </row>
    <row r="8" spans="1:14" x14ac:dyDescent="0.25">
      <c r="A8" s="3" t="s">
        <v>17</v>
      </c>
      <c r="B8" s="4">
        <v>1.42</v>
      </c>
      <c r="C8" s="4">
        <v>1.653</v>
      </c>
      <c r="D8" s="4">
        <v>1.53</v>
      </c>
      <c r="E8" s="4">
        <v>8.6999999999999994E-2</v>
      </c>
      <c r="F8" s="4">
        <v>8.4000000000000005E-2</v>
      </c>
      <c r="G8" s="4">
        <v>8.3000000000000004E-2</v>
      </c>
      <c r="H8" s="4">
        <v>0.14299999999999999</v>
      </c>
      <c r="I8" s="4">
        <v>0.14599999999999999</v>
      </c>
      <c r="J8" s="4">
        <v>0.14699999999999999</v>
      </c>
      <c r="K8" s="4">
        <v>1.3779999999999999</v>
      </c>
      <c r="L8" s="4">
        <v>1.391</v>
      </c>
      <c r="M8" s="4">
        <v>1.5349999999999999</v>
      </c>
      <c r="N8" s="5">
        <v>670</v>
      </c>
    </row>
    <row r="9" spans="1:14" x14ac:dyDescent="0.25">
      <c r="A9" s="3" t="s">
        <v>18</v>
      </c>
      <c r="B9" s="4">
        <v>1.4790000000000001</v>
      </c>
      <c r="C9" s="4">
        <v>1.4830000000000001</v>
      </c>
      <c r="D9" s="4">
        <v>1.579</v>
      </c>
      <c r="E9" s="4">
        <v>4.9000000000000002E-2</v>
      </c>
      <c r="F9" s="4">
        <v>5.8000000000000003E-2</v>
      </c>
      <c r="G9" s="4">
        <v>5.6000000000000001E-2</v>
      </c>
      <c r="H9" s="4">
        <v>5.2999999999999999E-2</v>
      </c>
      <c r="I9" s="4">
        <v>5.2999999999999999E-2</v>
      </c>
      <c r="J9" s="4">
        <v>5.5E-2</v>
      </c>
      <c r="K9" s="4">
        <v>2.0550000000000002</v>
      </c>
      <c r="L9" s="4">
        <v>2.3290000000000002</v>
      </c>
      <c r="M9" s="4">
        <v>2.141</v>
      </c>
      <c r="N9" s="5">
        <v>670</v>
      </c>
    </row>
    <row r="11" spans="1:14" x14ac:dyDescent="0.25">
      <c r="A11" s="2" t="s">
        <v>19</v>
      </c>
      <c r="B11" s="3">
        <v>1</v>
      </c>
      <c r="C11" s="3">
        <v>2</v>
      </c>
      <c r="D11" s="3">
        <v>3</v>
      </c>
      <c r="E11" s="3">
        <v>4</v>
      </c>
      <c r="F11" s="3">
        <v>5</v>
      </c>
      <c r="G11" s="3">
        <v>6</v>
      </c>
      <c r="H11" s="3">
        <v>7</v>
      </c>
      <c r="I11" s="3">
        <v>8</v>
      </c>
      <c r="J11" s="3">
        <v>9</v>
      </c>
      <c r="K11" s="3">
        <v>10</v>
      </c>
      <c r="L11" s="3">
        <v>11</v>
      </c>
      <c r="M11" s="3">
        <v>12</v>
      </c>
    </row>
    <row r="12" spans="1:14" x14ac:dyDescent="0.25">
      <c r="A12" s="3" t="s">
        <v>11</v>
      </c>
      <c r="B12" t="s">
        <v>21</v>
      </c>
      <c r="C12" t="s">
        <v>21</v>
      </c>
      <c r="D12" t="s">
        <v>21</v>
      </c>
      <c r="E12" t="s">
        <v>49</v>
      </c>
      <c r="F12" t="s">
        <v>49</v>
      </c>
      <c r="G12" t="s">
        <v>49</v>
      </c>
      <c r="H12" t="s">
        <v>60</v>
      </c>
      <c r="I12" t="s">
        <v>60</v>
      </c>
      <c r="J12" t="s">
        <v>60</v>
      </c>
      <c r="K12" t="s">
        <v>68</v>
      </c>
      <c r="L12" t="s">
        <v>68</v>
      </c>
      <c r="M12" t="s">
        <v>68</v>
      </c>
    </row>
    <row r="13" spans="1:14" x14ac:dyDescent="0.25">
      <c r="A13" s="3" t="s">
        <v>12</v>
      </c>
      <c r="B13" t="s">
        <v>22</v>
      </c>
      <c r="C13" t="s">
        <v>22</v>
      </c>
      <c r="D13" t="s">
        <v>22</v>
      </c>
      <c r="E13" t="s">
        <v>53</v>
      </c>
      <c r="F13" t="s">
        <v>53</v>
      </c>
      <c r="G13" t="s">
        <v>53</v>
      </c>
      <c r="H13" t="s">
        <v>61</v>
      </c>
      <c r="I13" t="s">
        <v>61</v>
      </c>
      <c r="J13" t="s">
        <v>61</v>
      </c>
      <c r="K13" t="s">
        <v>69</v>
      </c>
      <c r="L13" t="s">
        <v>69</v>
      </c>
      <c r="M13" t="s">
        <v>69</v>
      </c>
    </row>
    <row r="14" spans="1:14" x14ac:dyDescent="0.25">
      <c r="A14" s="3" t="s">
        <v>13</v>
      </c>
      <c r="B14" t="s">
        <v>23</v>
      </c>
      <c r="C14" t="s">
        <v>23</v>
      </c>
      <c r="D14" t="s">
        <v>23</v>
      </c>
      <c r="E14" t="s">
        <v>54</v>
      </c>
      <c r="F14" t="s">
        <v>54</v>
      </c>
      <c r="G14" t="s">
        <v>54</v>
      </c>
      <c r="H14" t="s">
        <v>62</v>
      </c>
      <c r="I14" t="s">
        <v>62</v>
      </c>
      <c r="J14" t="s">
        <v>62</v>
      </c>
      <c r="K14" t="s">
        <v>70</v>
      </c>
      <c r="L14" t="s">
        <v>70</v>
      </c>
      <c r="M14" t="s">
        <v>70</v>
      </c>
    </row>
    <row r="15" spans="1:14" x14ac:dyDescent="0.25">
      <c r="A15" s="3" t="s">
        <v>14</v>
      </c>
      <c r="B15" t="s">
        <v>24</v>
      </c>
      <c r="C15" t="s">
        <v>24</v>
      </c>
      <c r="D15" t="s">
        <v>24</v>
      </c>
      <c r="E15" t="s">
        <v>55</v>
      </c>
      <c r="F15" t="s">
        <v>55</v>
      </c>
      <c r="G15" t="s">
        <v>55</v>
      </c>
      <c r="H15" t="s">
        <v>63</v>
      </c>
      <c r="I15" t="s">
        <v>63</v>
      </c>
      <c r="J15" t="s">
        <v>63</v>
      </c>
      <c r="K15" t="s">
        <v>71</v>
      </c>
      <c r="L15" t="s">
        <v>71</v>
      </c>
      <c r="M15" t="s">
        <v>71</v>
      </c>
    </row>
    <row r="16" spans="1:14" x14ac:dyDescent="0.25">
      <c r="A16" s="3" t="s">
        <v>15</v>
      </c>
      <c r="B16" t="s">
        <v>25</v>
      </c>
      <c r="C16" t="s">
        <v>25</v>
      </c>
      <c r="D16" t="s">
        <v>25</v>
      </c>
      <c r="E16" t="s">
        <v>56</v>
      </c>
      <c r="F16" t="s">
        <v>56</v>
      </c>
      <c r="G16" t="s">
        <v>56</v>
      </c>
      <c r="H16" t="s">
        <v>64</v>
      </c>
      <c r="I16" t="s">
        <v>64</v>
      </c>
      <c r="J16" t="s">
        <v>64</v>
      </c>
      <c r="K16" t="s">
        <v>72</v>
      </c>
      <c r="L16" t="s">
        <v>72</v>
      </c>
      <c r="M16" t="s">
        <v>72</v>
      </c>
    </row>
    <row r="17" spans="1:13" x14ac:dyDescent="0.25">
      <c r="A17" s="3" t="s">
        <v>16</v>
      </c>
      <c r="B17" t="s">
        <v>26</v>
      </c>
      <c r="C17" t="s">
        <v>26</v>
      </c>
      <c r="D17" t="s">
        <v>26</v>
      </c>
      <c r="E17" t="s">
        <v>57</v>
      </c>
      <c r="F17" t="s">
        <v>57</v>
      </c>
      <c r="G17" t="s">
        <v>57</v>
      </c>
      <c r="H17" t="s">
        <v>65</v>
      </c>
      <c r="I17" t="s">
        <v>65</v>
      </c>
      <c r="J17" t="s">
        <v>65</v>
      </c>
      <c r="K17" t="s">
        <v>73</v>
      </c>
      <c r="L17" t="s">
        <v>73</v>
      </c>
      <c r="M17" t="s">
        <v>73</v>
      </c>
    </row>
    <row r="18" spans="1:13" x14ac:dyDescent="0.25">
      <c r="A18" s="3" t="s">
        <v>17</v>
      </c>
      <c r="B18" t="s">
        <v>27</v>
      </c>
      <c r="C18" t="s">
        <v>27</v>
      </c>
      <c r="D18" t="s">
        <v>27</v>
      </c>
      <c r="E18" t="s">
        <v>58</v>
      </c>
      <c r="F18" t="s">
        <v>58</v>
      </c>
      <c r="G18" t="s">
        <v>58</v>
      </c>
      <c r="H18" t="s">
        <v>66</v>
      </c>
      <c r="I18" t="s">
        <v>66</v>
      </c>
      <c r="J18" t="s">
        <v>66</v>
      </c>
      <c r="K18" t="s">
        <v>74</v>
      </c>
      <c r="L18" t="s">
        <v>74</v>
      </c>
      <c r="M18" t="s">
        <v>74</v>
      </c>
    </row>
    <row r="19" spans="1:13" x14ac:dyDescent="0.25">
      <c r="A19" s="3" t="s">
        <v>18</v>
      </c>
      <c r="B19" t="s">
        <v>28</v>
      </c>
      <c r="C19" t="s">
        <v>28</v>
      </c>
      <c r="D19" t="s">
        <v>28</v>
      </c>
      <c r="E19" t="s">
        <v>59</v>
      </c>
      <c r="F19" t="s">
        <v>59</v>
      </c>
      <c r="G19" t="s">
        <v>59</v>
      </c>
      <c r="H19" t="s">
        <v>67</v>
      </c>
      <c r="I19" t="s">
        <v>67</v>
      </c>
      <c r="J19" t="s">
        <v>67</v>
      </c>
      <c r="K19" t="s">
        <v>75</v>
      </c>
      <c r="L19" t="s">
        <v>75</v>
      </c>
      <c r="M19" t="s">
        <v>75</v>
      </c>
    </row>
    <row r="21" spans="1:13" ht="30" x14ac:dyDescent="0.25">
      <c r="A21" s="2" t="s">
        <v>20</v>
      </c>
      <c r="B21" s="3">
        <v>1</v>
      </c>
      <c r="C21" s="3">
        <v>2</v>
      </c>
      <c r="D21" s="3">
        <v>3</v>
      </c>
      <c r="E21" s="3">
        <v>4</v>
      </c>
      <c r="F21" s="3">
        <v>5</v>
      </c>
      <c r="G21" s="3">
        <v>6</v>
      </c>
      <c r="H21" s="3">
        <v>7</v>
      </c>
      <c r="I21" s="3">
        <v>8</v>
      </c>
      <c r="J21" s="3">
        <v>9</v>
      </c>
      <c r="K21" s="3">
        <v>10</v>
      </c>
      <c r="L21" s="3">
        <v>11</v>
      </c>
      <c r="M21" s="3">
        <v>12</v>
      </c>
    </row>
    <row r="22" spans="1:13" x14ac:dyDescent="0.25">
      <c r="A22" s="3" t="s">
        <v>11</v>
      </c>
      <c r="B22">
        <v>1</v>
      </c>
      <c r="C22">
        <v>1</v>
      </c>
      <c r="D22">
        <v>1</v>
      </c>
      <c r="E22">
        <v>10</v>
      </c>
      <c r="F22">
        <v>10</v>
      </c>
      <c r="G22">
        <v>10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</row>
    <row r="23" spans="1:13" x14ac:dyDescent="0.25">
      <c r="A23" s="3" t="s">
        <v>12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</row>
    <row r="24" spans="1:13" x14ac:dyDescent="0.25">
      <c r="A24" s="3" t="s">
        <v>13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</row>
    <row r="25" spans="1:13" x14ac:dyDescent="0.25">
      <c r="A25" s="3" t="s">
        <v>14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</row>
    <row r="26" spans="1:13" x14ac:dyDescent="0.25">
      <c r="A26" s="3" t="s">
        <v>15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</row>
    <row r="27" spans="1:13" x14ac:dyDescent="0.25">
      <c r="A27" s="3" t="s">
        <v>16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</row>
    <row r="28" spans="1:13" x14ac:dyDescent="0.25">
      <c r="A28" s="3" t="s">
        <v>17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</row>
    <row r="29" spans="1:13" x14ac:dyDescent="0.25">
      <c r="A29" s="3" t="s">
        <v>18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8227B-DC74-4A1A-96FE-5687E9F9DA9A}">
  <dimension ref="A1:N29"/>
  <sheetViews>
    <sheetView topLeftCell="A11" workbookViewId="0">
      <selection activeCell="A11" sqref="A1:XFD1048576"/>
    </sheetView>
  </sheetViews>
  <sheetFormatPr defaultRowHeight="15" x14ac:dyDescent="0.25"/>
  <sheetData>
    <row r="1" spans="1:14" x14ac:dyDescent="0.25">
      <c r="A1" s="2" t="s">
        <v>3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</row>
    <row r="2" spans="1:14" x14ac:dyDescent="0.25">
      <c r="A2" s="3" t="s">
        <v>11</v>
      </c>
      <c r="B2" s="4">
        <v>4.8000000000000001E-2</v>
      </c>
      <c r="C2" s="4">
        <v>5.2999999999999999E-2</v>
      </c>
      <c r="D2" s="4">
        <v>5.2999999999999999E-2</v>
      </c>
      <c r="E2" s="4">
        <v>5.8000000000000003E-2</v>
      </c>
      <c r="F2" s="4">
        <v>5.8999999999999997E-2</v>
      </c>
      <c r="G2" s="4">
        <v>5.8999999999999997E-2</v>
      </c>
      <c r="H2" s="4">
        <v>5.2999999999999999E-2</v>
      </c>
      <c r="I2" s="4">
        <v>5.7000000000000002E-2</v>
      </c>
      <c r="J2" s="4">
        <v>5.3999999999999999E-2</v>
      </c>
      <c r="K2" s="4">
        <v>0.06</v>
      </c>
      <c r="L2" s="4">
        <v>5.7000000000000002E-2</v>
      </c>
      <c r="M2" s="4">
        <v>5.8000000000000003E-2</v>
      </c>
      <c r="N2" s="5">
        <v>670</v>
      </c>
    </row>
    <row r="3" spans="1:14" x14ac:dyDescent="0.25">
      <c r="A3" s="3" t="s">
        <v>12</v>
      </c>
      <c r="B3" s="4">
        <v>0.157</v>
      </c>
      <c r="C3" s="4">
        <v>0.155</v>
      </c>
      <c r="D3" s="4">
        <v>0.16300000000000001</v>
      </c>
      <c r="E3" s="4">
        <v>0.98199999999999998</v>
      </c>
      <c r="F3" s="4">
        <v>1.0329999999999999</v>
      </c>
      <c r="G3" s="4">
        <v>1.014</v>
      </c>
      <c r="H3" s="4">
        <v>5.5E-2</v>
      </c>
      <c r="I3" s="4">
        <v>5.3999999999999999E-2</v>
      </c>
      <c r="J3" s="4">
        <v>5.2999999999999999E-2</v>
      </c>
      <c r="K3" s="4">
        <v>5.8000000000000003E-2</v>
      </c>
      <c r="L3" s="4">
        <v>5.8999999999999997E-2</v>
      </c>
      <c r="M3" s="4">
        <v>5.8999999999999997E-2</v>
      </c>
      <c r="N3" s="5">
        <v>670</v>
      </c>
    </row>
    <row r="4" spans="1:14" x14ac:dyDescent="0.25">
      <c r="A4" s="3" t="s">
        <v>13</v>
      </c>
      <c r="B4" s="4">
        <v>0.27400000000000002</v>
      </c>
      <c r="C4" s="4">
        <v>0.28899999999999998</v>
      </c>
      <c r="D4" s="4">
        <v>0.29099999999999998</v>
      </c>
      <c r="E4" s="4">
        <v>1.3</v>
      </c>
      <c r="F4" s="4">
        <v>1.4339999999999999</v>
      </c>
      <c r="G4" s="4">
        <v>1.2270000000000001</v>
      </c>
      <c r="H4" s="4">
        <v>5.2999999999999999E-2</v>
      </c>
      <c r="I4" s="4">
        <v>5.5E-2</v>
      </c>
      <c r="J4" s="4">
        <v>5.8999999999999997E-2</v>
      </c>
      <c r="K4" s="4">
        <v>6.5000000000000002E-2</v>
      </c>
      <c r="L4" s="4">
        <v>6.5000000000000002E-2</v>
      </c>
      <c r="M4" s="4">
        <v>7.1999999999999995E-2</v>
      </c>
      <c r="N4" s="5">
        <v>670</v>
      </c>
    </row>
    <row r="5" spans="1:14" x14ac:dyDescent="0.25">
      <c r="A5" s="3" t="s">
        <v>14</v>
      </c>
      <c r="B5" s="4">
        <v>0.68100000000000005</v>
      </c>
      <c r="C5" s="4">
        <v>0.75900000000000001</v>
      </c>
      <c r="D5" s="4">
        <v>0.68500000000000005</v>
      </c>
      <c r="E5" s="4">
        <v>5.8000000000000003E-2</v>
      </c>
      <c r="F5" s="4">
        <v>5.8999999999999997E-2</v>
      </c>
      <c r="G5" s="4">
        <v>5.8999999999999997E-2</v>
      </c>
      <c r="H5" s="4">
        <v>5.1999999999999998E-2</v>
      </c>
      <c r="I5" s="4">
        <v>5.6000000000000001E-2</v>
      </c>
      <c r="J5" s="4">
        <v>5.3999999999999999E-2</v>
      </c>
      <c r="K5" s="4">
        <v>5.8999999999999997E-2</v>
      </c>
      <c r="L5" s="4">
        <v>5.8999999999999997E-2</v>
      </c>
      <c r="M5" s="4">
        <v>5.8000000000000003E-2</v>
      </c>
      <c r="N5" s="5">
        <v>670</v>
      </c>
    </row>
    <row r="6" spans="1:14" x14ac:dyDescent="0.25">
      <c r="A6" s="3" t="s">
        <v>15</v>
      </c>
      <c r="B6" s="4">
        <v>0.92500000000000004</v>
      </c>
      <c r="C6" s="4">
        <v>0.95499999999999996</v>
      </c>
      <c r="D6" s="4">
        <v>0.92600000000000005</v>
      </c>
      <c r="E6" s="4">
        <v>0.89900000000000002</v>
      </c>
      <c r="F6" s="4">
        <v>0.91900000000000004</v>
      </c>
      <c r="G6" s="4">
        <v>0.92500000000000004</v>
      </c>
      <c r="H6" s="4">
        <v>6.3E-2</v>
      </c>
      <c r="I6" s="4">
        <v>0.06</v>
      </c>
      <c r="J6" s="4">
        <v>5.5E-2</v>
      </c>
      <c r="K6" s="4">
        <v>6.4000000000000001E-2</v>
      </c>
      <c r="L6" s="4">
        <v>6.4000000000000001E-2</v>
      </c>
      <c r="M6" s="4">
        <v>6.3E-2</v>
      </c>
      <c r="N6" s="5">
        <v>670</v>
      </c>
    </row>
    <row r="7" spans="1:14" x14ac:dyDescent="0.25">
      <c r="A7" s="3" t="s">
        <v>16</v>
      </c>
      <c r="B7" s="4">
        <v>1.571</v>
      </c>
      <c r="C7" s="4">
        <v>1.6419999999999999</v>
      </c>
      <c r="D7" s="4">
        <v>1.5309999999999999</v>
      </c>
      <c r="E7" s="4">
        <v>1.6080000000000001</v>
      </c>
      <c r="F7" s="4">
        <v>1.571</v>
      </c>
      <c r="G7" s="4">
        <v>1.623</v>
      </c>
      <c r="H7" s="4">
        <v>5.6000000000000001E-2</v>
      </c>
      <c r="I7" s="4">
        <v>5.7000000000000002E-2</v>
      </c>
      <c r="J7" s="4">
        <v>5.5E-2</v>
      </c>
      <c r="K7" s="4">
        <v>6.9000000000000006E-2</v>
      </c>
      <c r="L7" s="4">
        <v>6.9000000000000006E-2</v>
      </c>
      <c r="M7" s="4">
        <v>6.7000000000000004E-2</v>
      </c>
      <c r="N7" s="5">
        <v>670</v>
      </c>
    </row>
    <row r="8" spans="1:14" x14ac:dyDescent="0.25">
      <c r="A8" s="3" t="s">
        <v>17</v>
      </c>
      <c r="B8" s="4">
        <v>1.583</v>
      </c>
      <c r="C8" s="4">
        <v>1.6240000000000001</v>
      </c>
      <c r="D8" s="4">
        <v>1.4850000000000001</v>
      </c>
      <c r="E8" s="4">
        <v>5.5E-2</v>
      </c>
      <c r="F8" s="4">
        <v>5.8000000000000003E-2</v>
      </c>
      <c r="G8" s="4">
        <v>5.7000000000000002E-2</v>
      </c>
      <c r="H8" s="4">
        <v>0.371</v>
      </c>
      <c r="I8" s="4">
        <v>0.38500000000000001</v>
      </c>
      <c r="J8" s="4">
        <v>0.36199999999999999</v>
      </c>
      <c r="K8" s="4">
        <v>6.3E-2</v>
      </c>
      <c r="L8" s="4">
        <v>6.2E-2</v>
      </c>
      <c r="M8" s="4">
        <v>6.6000000000000003E-2</v>
      </c>
      <c r="N8" s="5">
        <v>670</v>
      </c>
    </row>
    <row r="9" spans="1:14" x14ac:dyDescent="0.25">
      <c r="A9" s="3" t="s">
        <v>18</v>
      </c>
      <c r="B9" s="4">
        <v>1.478</v>
      </c>
      <c r="C9" s="4">
        <v>1.621</v>
      </c>
      <c r="D9" s="4">
        <v>1.6879999999999999</v>
      </c>
      <c r="E9" s="4">
        <v>0.05</v>
      </c>
      <c r="F9" s="4">
        <v>5.2999999999999999E-2</v>
      </c>
      <c r="G9" s="4">
        <v>5.2999999999999999E-2</v>
      </c>
      <c r="H9" s="4">
        <v>6.0999999999999999E-2</v>
      </c>
      <c r="I9" s="4">
        <v>5.8000000000000003E-2</v>
      </c>
      <c r="J9" s="4">
        <v>0.06</v>
      </c>
      <c r="K9" s="4">
        <v>6.0999999999999999E-2</v>
      </c>
      <c r="L9" s="4">
        <v>5.6000000000000001E-2</v>
      </c>
      <c r="M9" s="4">
        <v>5.8999999999999997E-2</v>
      </c>
      <c r="N9" s="5">
        <v>670</v>
      </c>
    </row>
    <row r="11" spans="1:14" x14ac:dyDescent="0.25">
      <c r="A11" s="2" t="s">
        <v>19</v>
      </c>
      <c r="B11" s="3">
        <v>1</v>
      </c>
      <c r="C11" s="3">
        <v>2</v>
      </c>
      <c r="D11" s="3">
        <v>3</v>
      </c>
      <c r="E11" s="3">
        <v>4</v>
      </c>
      <c r="F11" s="3">
        <v>5</v>
      </c>
      <c r="G11" s="3">
        <v>6</v>
      </c>
      <c r="H11" s="3">
        <v>7</v>
      </c>
      <c r="I11" s="3">
        <v>8</v>
      </c>
      <c r="J11" s="3">
        <v>9</v>
      </c>
      <c r="K11" s="3">
        <v>10</v>
      </c>
      <c r="L11" s="3">
        <v>11</v>
      </c>
      <c r="M11" s="3">
        <v>12</v>
      </c>
    </row>
    <row r="12" spans="1:14" x14ac:dyDescent="0.25">
      <c r="A12" s="3" t="s">
        <v>11</v>
      </c>
      <c r="B12" t="s">
        <v>21</v>
      </c>
      <c r="C12" t="s">
        <v>21</v>
      </c>
      <c r="D12" t="s">
        <v>21</v>
      </c>
      <c r="E12" t="s">
        <v>76</v>
      </c>
      <c r="F12" t="s">
        <v>76</v>
      </c>
      <c r="G12" t="s">
        <v>76</v>
      </c>
      <c r="H12" t="s">
        <v>84</v>
      </c>
      <c r="I12" t="s">
        <v>84</v>
      </c>
      <c r="J12" t="s">
        <v>84</v>
      </c>
      <c r="K12" t="s">
        <v>92</v>
      </c>
      <c r="L12" t="s">
        <v>92</v>
      </c>
      <c r="M12" t="s">
        <v>92</v>
      </c>
    </row>
    <row r="13" spans="1:14" x14ac:dyDescent="0.25">
      <c r="A13" s="3" t="s">
        <v>12</v>
      </c>
      <c r="B13" t="s">
        <v>22</v>
      </c>
      <c r="C13" t="s">
        <v>22</v>
      </c>
      <c r="D13" t="s">
        <v>22</v>
      </c>
      <c r="E13" t="s">
        <v>79</v>
      </c>
      <c r="F13" t="s">
        <v>79</v>
      </c>
      <c r="G13" t="s">
        <v>79</v>
      </c>
      <c r="H13" t="s">
        <v>85</v>
      </c>
      <c r="I13" t="s">
        <v>85</v>
      </c>
      <c r="J13" t="s">
        <v>85</v>
      </c>
      <c r="K13" t="s">
        <v>93</v>
      </c>
      <c r="L13" t="s">
        <v>93</v>
      </c>
      <c r="M13" t="s">
        <v>93</v>
      </c>
    </row>
    <row r="14" spans="1:14" x14ac:dyDescent="0.25">
      <c r="A14" s="3" t="s">
        <v>13</v>
      </c>
      <c r="B14" t="s">
        <v>23</v>
      </c>
      <c r="C14" t="s">
        <v>23</v>
      </c>
      <c r="D14" t="s">
        <v>23</v>
      </c>
      <c r="E14" t="s">
        <v>80</v>
      </c>
      <c r="F14" t="s">
        <v>80</v>
      </c>
      <c r="G14" t="s">
        <v>80</v>
      </c>
      <c r="H14" t="s">
        <v>86</v>
      </c>
      <c r="I14" t="s">
        <v>86</v>
      </c>
      <c r="J14" t="s">
        <v>86</v>
      </c>
      <c r="K14" t="s">
        <v>94</v>
      </c>
      <c r="L14" t="s">
        <v>94</v>
      </c>
      <c r="M14" t="s">
        <v>94</v>
      </c>
    </row>
    <row r="15" spans="1:14" x14ac:dyDescent="0.25">
      <c r="A15" s="3" t="s">
        <v>14</v>
      </c>
      <c r="B15" t="s">
        <v>24</v>
      </c>
      <c r="C15" t="s">
        <v>24</v>
      </c>
      <c r="D15" t="s">
        <v>24</v>
      </c>
      <c r="E15" t="s">
        <v>77</v>
      </c>
      <c r="F15" t="s">
        <v>77</v>
      </c>
      <c r="G15" t="s">
        <v>77</v>
      </c>
      <c r="H15" t="s">
        <v>87</v>
      </c>
      <c r="I15" t="s">
        <v>87</v>
      </c>
      <c r="J15" t="s">
        <v>87</v>
      </c>
      <c r="K15" t="s">
        <v>95</v>
      </c>
      <c r="L15" t="s">
        <v>95</v>
      </c>
      <c r="M15" t="s">
        <v>95</v>
      </c>
    </row>
    <row r="16" spans="1:14" x14ac:dyDescent="0.25">
      <c r="A16" s="3" t="s">
        <v>15</v>
      </c>
      <c r="B16" t="s">
        <v>25</v>
      </c>
      <c r="C16" t="s">
        <v>25</v>
      </c>
      <c r="D16" t="s">
        <v>25</v>
      </c>
      <c r="E16" t="s">
        <v>81</v>
      </c>
      <c r="F16" t="s">
        <v>81</v>
      </c>
      <c r="G16" t="s">
        <v>81</v>
      </c>
      <c r="H16" t="s">
        <v>88</v>
      </c>
      <c r="I16" t="s">
        <v>88</v>
      </c>
      <c r="J16" t="s">
        <v>88</v>
      </c>
      <c r="K16" t="s">
        <v>96</v>
      </c>
      <c r="L16" t="s">
        <v>96</v>
      </c>
      <c r="M16" t="s">
        <v>96</v>
      </c>
    </row>
    <row r="17" spans="1:13" x14ac:dyDescent="0.25">
      <c r="A17" s="3" t="s">
        <v>16</v>
      </c>
      <c r="B17" t="s">
        <v>26</v>
      </c>
      <c r="C17" t="s">
        <v>26</v>
      </c>
      <c r="D17" t="s">
        <v>26</v>
      </c>
      <c r="E17" t="s">
        <v>82</v>
      </c>
      <c r="F17" t="s">
        <v>82</v>
      </c>
      <c r="G17" t="s">
        <v>82</v>
      </c>
      <c r="H17" t="s">
        <v>89</v>
      </c>
      <c r="I17" t="s">
        <v>89</v>
      </c>
      <c r="J17" t="s">
        <v>89</v>
      </c>
      <c r="K17" t="s">
        <v>98</v>
      </c>
      <c r="L17" t="s">
        <v>98</v>
      </c>
      <c r="M17" t="s">
        <v>98</v>
      </c>
    </row>
    <row r="18" spans="1:13" x14ac:dyDescent="0.25">
      <c r="A18" s="3" t="s">
        <v>17</v>
      </c>
      <c r="B18" t="s">
        <v>27</v>
      </c>
      <c r="C18" t="s">
        <v>27</v>
      </c>
      <c r="D18" t="s">
        <v>27</v>
      </c>
      <c r="E18" t="s">
        <v>78</v>
      </c>
      <c r="F18" t="s">
        <v>78</v>
      </c>
      <c r="G18" t="s">
        <v>78</v>
      </c>
      <c r="H18" t="s">
        <v>90</v>
      </c>
      <c r="I18" t="s">
        <v>90</v>
      </c>
      <c r="J18" t="s">
        <v>90</v>
      </c>
      <c r="K18" t="s">
        <v>99</v>
      </c>
      <c r="L18" t="s">
        <v>99</v>
      </c>
      <c r="M18" t="s">
        <v>99</v>
      </c>
    </row>
    <row r="19" spans="1:13" x14ac:dyDescent="0.25">
      <c r="A19" s="3" t="s">
        <v>18</v>
      </c>
      <c r="B19" t="s">
        <v>28</v>
      </c>
      <c r="C19" t="s">
        <v>28</v>
      </c>
      <c r="D19" t="s">
        <v>28</v>
      </c>
      <c r="E19" t="s">
        <v>83</v>
      </c>
      <c r="F19" t="s">
        <v>83</v>
      </c>
      <c r="G19" t="s">
        <v>83</v>
      </c>
      <c r="H19" t="s">
        <v>91</v>
      </c>
      <c r="I19" t="s">
        <v>91</v>
      </c>
      <c r="J19" t="s">
        <v>91</v>
      </c>
      <c r="K19" t="s">
        <v>100</v>
      </c>
      <c r="L19" t="s">
        <v>100</v>
      </c>
      <c r="M19" t="s">
        <v>100</v>
      </c>
    </row>
    <row r="21" spans="1:13" ht="30" x14ac:dyDescent="0.25">
      <c r="A21" s="2" t="s">
        <v>20</v>
      </c>
      <c r="B21" s="3">
        <v>1</v>
      </c>
      <c r="C21" s="3">
        <v>2</v>
      </c>
      <c r="D21" s="3">
        <v>3</v>
      </c>
      <c r="E21" s="3">
        <v>4</v>
      </c>
      <c r="F21" s="3">
        <v>5</v>
      </c>
      <c r="G21" s="3">
        <v>6</v>
      </c>
      <c r="H21" s="3">
        <v>7</v>
      </c>
      <c r="I21" s="3">
        <v>8</v>
      </c>
      <c r="J21" s="3">
        <v>9</v>
      </c>
      <c r="K21" s="3">
        <v>10</v>
      </c>
      <c r="L21" s="3">
        <v>11</v>
      </c>
      <c r="M21" s="3">
        <v>12</v>
      </c>
    </row>
    <row r="22" spans="1:13" x14ac:dyDescent="0.25">
      <c r="A22" s="3" t="s">
        <v>11</v>
      </c>
      <c r="B22">
        <v>1</v>
      </c>
      <c r="C22">
        <v>1</v>
      </c>
      <c r="D22">
        <v>1</v>
      </c>
      <c r="E22">
        <v>10</v>
      </c>
      <c r="F22">
        <v>10</v>
      </c>
      <c r="G22">
        <v>10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</row>
    <row r="23" spans="1:13" x14ac:dyDescent="0.25">
      <c r="A23" s="3" t="s">
        <v>12</v>
      </c>
      <c r="B23">
        <v>1</v>
      </c>
      <c r="C23">
        <v>1</v>
      </c>
      <c r="D23">
        <v>1</v>
      </c>
      <c r="E23">
        <v>10</v>
      </c>
      <c r="F23">
        <v>10</v>
      </c>
      <c r="G23">
        <v>10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</row>
    <row r="24" spans="1:13" x14ac:dyDescent="0.25">
      <c r="A24" s="3" t="s">
        <v>13</v>
      </c>
      <c r="B24">
        <v>1</v>
      </c>
      <c r="C24">
        <v>1</v>
      </c>
      <c r="D24">
        <v>1</v>
      </c>
      <c r="E24">
        <v>10</v>
      </c>
      <c r="F24">
        <v>10</v>
      </c>
      <c r="G24">
        <v>10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</row>
    <row r="25" spans="1:13" x14ac:dyDescent="0.25">
      <c r="A25" s="3" t="s">
        <v>14</v>
      </c>
      <c r="B25">
        <v>1</v>
      </c>
      <c r="C25">
        <v>1</v>
      </c>
      <c r="D25">
        <v>1</v>
      </c>
      <c r="E25">
        <v>10</v>
      </c>
      <c r="F25">
        <v>10</v>
      </c>
      <c r="G25">
        <v>10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</row>
    <row r="26" spans="1:13" x14ac:dyDescent="0.25">
      <c r="A26" s="3" t="s">
        <v>15</v>
      </c>
      <c r="B26">
        <v>1</v>
      </c>
      <c r="C26">
        <v>1</v>
      </c>
      <c r="D26">
        <v>1</v>
      </c>
      <c r="E26">
        <v>10</v>
      </c>
      <c r="F26">
        <v>10</v>
      </c>
      <c r="G26">
        <v>10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</row>
    <row r="27" spans="1:13" x14ac:dyDescent="0.25">
      <c r="A27" s="3" t="s">
        <v>16</v>
      </c>
      <c r="B27">
        <v>1</v>
      </c>
      <c r="C27">
        <v>1</v>
      </c>
      <c r="D27">
        <v>1</v>
      </c>
      <c r="E27">
        <v>10</v>
      </c>
      <c r="F27">
        <v>10</v>
      </c>
      <c r="G27">
        <v>10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</row>
    <row r="28" spans="1:13" x14ac:dyDescent="0.25">
      <c r="A28" s="3" t="s">
        <v>17</v>
      </c>
      <c r="B28">
        <v>1</v>
      </c>
      <c r="C28">
        <v>1</v>
      </c>
      <c r="D28">
        <v>1</v>
      </c>
      <c r="E28">
        <v>10</v>
      </c>
      <c r="F28">
        <v>10</v>
      </c>
      <c r="G28">
        <v>10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</row>
    <row r="29" spans="1:13" x14ac:dyDescent="0.25">
      <c r="A29" s="3" t="s">
        <v>18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B9904-4BAA-4094-AFD8-D9BAC6E9D464}">
  <dimension ref="A1:N29"/>
  <sheetViews>
    <sheetView topLeftCell="A12" workbookViewId="0">
      <selection activeCell="A12" sqref="A1:XFD1048576"/>
    </sheetView>
  </sheetViews>
  <sheetFormatPr defaultRowHeight="15" x14ac:dyDescent="0.25"/>
  <sheetData>
    <row r="1" spans="1:14" x14ac:dyDescent="0.25">
      <c r="A1" s="2" t="s">
        <v>3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</row>
    <row r="2" spans="1:14" x14ac:dyDescent="0.25">
      <c r="A2" s="3" t="s">
        <v>11</v>
      </c>
      <c r="B2" s="4">
        <v>5.2999999999999999E-2</v>
      </c>
      <c r="C2" s="4">
        <v>4.9000000000000002E-2</v>
      </c>
      <c r="D2" s="4">
        <v>4.8000000000000001E-2</v>
      </c>
      <c r="E2" s="4">
        <v>2.444</v>
      </c>
      <c r="F2" s="4">
        <v>2.4350000000000001</v>
      </c>
      <c r="G2" s="4">
        <v>2.444</v>
      </c>
      <c r="H2" s="4">
        <v>7.0000000000000007E-2</v>
      </c>
      <c r="I2" s="4">
        <v>7.1999999999999995E-2</v>
      </c>
      <c r="J2" s="4">
        <v>6.9000000000000006E-2</v>
      </c>
      <c r="K2" s="4">
        <v>5.2999999999999999E-2</v>
      </c>
      <c r="L2" s="4">
        <v>5.1999999999999998E-2</v>
      </c>
      <c r="M2" s="4">
        <v>5.2999999999999999E-2</v>
      </c>
      <c r="N2" s="5">
        <v>670</v>
      </c>
    </row>
    <row r="3" spans="1:14" x14ac:dyDescent="0.25">
      <c r="A3" s="3" t="s">
        <v>12</v>
      </c>
      <c r="B3" s="4">
        <v>0.13300000000000001</v>
      </c>
      <c r="C3" s="4">
        <v>0.16700000000000001</v>
      </c>
      <c r="D3" s="4">
        <v>0.128</v>
      </c>
      <c r="E3" s="4">
        <v>0.17100000000000001</v>
      </c>
      <c r="F3" s="4">
        <v>0.161</v>
      </c>
      <c r="G3" s="4">
        <v>0.14899999999999999</v>
      </c>
      <c r="H3" s="4">
        <v>7.1999999999999995E-2</v>
      </c>
      <c r="I3" s="4">
        <v>7.3999999999999996E-2</v>
      </c>
      <c r="J3" s="4">
        <v>7.3999999999999996E-2</v>
      </c>
      <c r="K3" s="4">
        <v>0.05</v>
      </c>
      <c r="L3" s="4">
        <v>5.0999999999999997E-2</v>
      </c>
      <c r="M3" s="4">
        <v>5.1999999999999998E-2</v>
      </c>
      <c r="N3" s="5">
        <v>670</v>
      </c>
    </row>
    <row r="4" spans="1:14" x14ac:dyDescent="0.25">
      <c r="A4" s="3" t="s">
        <v>13</v>
      </c>
      <c r="B4" s="4">
        <v>0.26</v>
      </c>
      <c r="C4" s="4">
        <v>0.35899999999999999</v>
      </c>
      <c r="D4" s="4">
        <v>0.29499999999999998</v>
      </c>
      <c r="E4" s="4">
        <v>0.06</v>
      </c>
      <c r="F4" s="4">
        <v>6.2E-2</v>
      </c>
      <c r="G4" s="4">
        <v>6.2E-2</v>
      </c>
      <c r="H4" s="4">
        <v>6.6000000000000003E-2</v>
      </c>
      <c r="I4" s="4">
        <v>6.5000000000000002E-2</v>
      </c>
      <c r="J4" s="4">
        <v>6.4000000000000001E-2</v>
      </c>
      <c r="K4" s="4">
        <v>7.1999999999999995E-2</v>
      </c>
      <c r="L4" s="4">
        <v>7.0000000000000007E-2</v>
      </c>
      <c r="M4" s="4">
        <v>7.3999999999999996E-2</v>
      </c>
      <c r="N4" s="5">
        <v>670</v>
      </c>
    </row>
    <row r="5" spans="1:14" x14ac:dyDescent="0.25">
      <c r="A5" s="3" t="s">
        <v>14</v>
      </c>
      <c r="B5" s="4">
        <v>0.55500000000000005</v>
      </c>
      <c r="C5" s="4">
        <v>0.46899999999999997</v>
      </c>
      <c r="D5" s="4">
        <v>0.54400000000000004</v>
      </c>
      <c r="E5" s="4">
        <v>0.14099999999999999</v>
      </c>
      <c r="F5" s="4">
        <v>0.15</v>
      </c>
      <c r="G5" s="4">
        <v>0.13800000000000001</v>
      </c>
      <c r="H5" s="4">
        <v>7.6999999999999999E-2</v>
      </c>
      <c r="I5" s="4">
        <v>7.9000000000000001E-2</v>
      </c>
      <c r="J5" s="4">
        <v>7.6999999999999999E-2</v>
      </c>
      <c r="K5" s="4">
        <v>0.13500000000000001</v>
      </c>
      <c r="L5" s="4">
        <v>0.13400000000000001</v>
      </c>
      <c r="M5" s="4">
        <v>0.13100000000000001</v>
      </c>
      <c r="N5" s="5">
        <v>670</v>
      </c>
    </row>
    <row r="6" spans="1:14" x14ac:dyDescent="0.25">
      <c r="A6" s="3" t="s">
        <v>15</v>
      </c>
      <c r="B6" s="4">
        <v>0.95399999999999996</v>
      </c>
      <c r="C6" s="4">
        <v>0.94199999999999995</v>
      </c>
      <c r="D6" s="4">
        <v>1.0469999999999999</v>
      </c>
      <c r="E6" s="4">
        <v>5.3999999999999999E-2</v>
      </c>
      <c r="F6" s="4">
        <v>5.2999999999999999E-2</v>
      </c>
      <c r="G6" s="4">
        <v>5.3999999999999999E-2</v>
      </c>
      <c r="H6" s="4">
        <v>7.6999999999999999E-2</v>
      </c>
      <c r="I6" s="4">
        <v>7.4999999999999997E-2</v>
      </c>
      <c r="J6" s="4">
        <v>7.9000000000000001E-2</v>
      </c>
      <c r="K6" s="4">
        <v>8.2000000000000003E-2</v>
      </c>
      <c r="L6" s="4">
        <v>8.2000000000000003E-2</v>
      </c>
      <c r="M6" s="4">
        <v>0.08</v>
      </c>
      <c r="N6" s="5">
        <v>670</v>
      </c>
    </row>
    <row r="7" spans="1:14" x14ac:dyDescent="0.25">
      <c r="A7" s="3" t="s">
        <v>16</v>
      </c>
      <c r="B7" s="4">
        <v>1.595</v>
      </c>
      <c r="C7" s="4">
        <v>1.768</v>
      </c>
      <c r="D7" s="4">
        <v>1.51</v>
      </c>
      <c r="E7" s="4">
        <v>8.3000000000000004E-2</v>
      </c>
      <c r="F7" s="4">
        <v>9.5000000000000001E-2</v>
      </c>
      <c r="G7" s="4">
        <v>8.3000000000000004E-2</v>
      </c>
      <c r="H7" s="4">
        <v>5.8000000000000003E-2</v>
      </c>
      <c r="I7" s="4">
        <v>5.8000000000000003E-2</v>
      </c>
      <c r="J7" s="4">
        <v>5.7000000000000002E-2</v>
      </c>
      <c r="K7" s="4">
        <v>0.16400000000000001</v>
      </c>
      <c r="L7" s="4">
        <v>0.16900000000000001</v>
      </c>
      <c r="M7" s="4">
        <v>0.161</v>
      </c>
      <c r="N7" s="5">
        <v>670</v>
      </c>
    </row>
    <row r="8" spans="1:14" x14ac:dyDescent="0.25">
      <c r="A8" s="3" t="s">
        <v>17</v>
      </c>
      <c r="B8" s="4">
        <v>1.657</v>
      </c>
      <c r="C8" s="4">
        <v>1.6850000000000001</v>
      </c>
      <c r="D8" s="4">
        <v>1.6859999999999999</v>
      </c>
      <c r="E8" s="4">
        <v>5.8999999999999997E-2</v>
      </c>
      <c r="F8" s="4">
        <v>5.7000000000000002E-2</v>
      </c>
      <c r="G8" s="4">
        <v>5.7000000000000002E-2</v>
      </c>
      <c r="H8" s="4">
        <v>0.38</v>
      </c>
      <c r="I8" s="4">
        <v>0.39300000000000002</v>
      </c>
      <c r="J8" s="4">
        <v>0.38500000000000001</v>
      </c>
      <c r="K8" s="4">
        <v>0.20399999999999999</v>
      </c>
      <c r="L8" s="4">
        <v>0.215</v>
      </c>
      <c r="M8" s="4">
        <v>0.20200000000000001</v>
      </c>
      <c r="N8" s="5">
        <v>670</v>
      </c>
    </row>
    <row r="9" spans="1:14" x14ac:dyDescent="0.25">
      <c r="A9" s="3" t="s">
        <v>18</v>
      </c>
      <c r="B9" s="4">
        <v>1.546</v>
      </c>
      <c r="C9" s="4">
        <v>1.611</v>
      </c>
      <c r="D9" s="4">
        <v>1.645</v>
      </c>
      <c r="E9" s="4">
        <v>0.13700000000000001</v>
      </c>
      <c r="F9" s="4">
        <v>0.14099999999999999</v>
      </c>
      <c r="G9" s="4">
        <v>0.14000000000000001</v>
      </c>
      <c r="H9" s="4">
        <v>5.1999999999999998E-2</v>
      </c>
      <c r="I9" s="4">
        <v>5.0999999999999997E-2</v>
      </c>
      <c r="J9" s="4">
        <v>5.2999999999999999E-2</v>
      </c>
      <c r="K9" s="4">
        <v>0.36599999999999999</v>
      </c>
      <c r="L9" s="4">
        <v>0.36499999999999999</v>
      </c>
      <c r="M9" s="4">
        <v>0.34</v>
      </c>
      <c r="N9" s="5">
        <v>670</v>
      </c>
    </row>
    <row r="11" spans="1:14" x14ac:dyDescent="0.25">
      <c r="A11" s="2" t="s">
        <v>19</v>
      </c>
      <c r="B11" s="3">
        <v>1</v>
      </c>
      <c r="C11" s="3">
        <v>2</v>
      </c>
      <c r="D11" s="3">
        <v>3</v>
      </c>
      <c r="E11" s="3">
        <v>4</v>
      </c>
      <c r="F11" s="3">
        <v>5</v>
      </c>
      <c r="G11" s="3">
        <v>6</v>
      </c>
      <c r="H11" s="3">
        <v>7</v>
      </c>
      <c r="I11" s="3">
        <v>8</v>
      </c>
      <c r="J11" s="3">
        <v>9</v>
      </c>
      <c r="K11" s="3">
        <v>10</v>
      </c>
      <c r="L11" s="3">
        <v>11</v>
      </c>
      <c r="M11" s="3">
        <v>12</v>
      </c>
    </row>
    <row r="12" spans="1:14" x14ac:dyDescent="0.25">
      <c r="A12" s="3" t="s">
        <v>11</v>
      </c>
      <c r="B12" t="s">
        <v>21</v>
      </c>
      <c r="C12" t="s">
        <v>21</v>
      </c>
      <c r="D12" t="s">
        <v>21</v>
      </c>
      <c r="E12" t="s">
        <v>101</v>
      </c>
      <c r="F12" t="s">
        <v>101</v>
      </c>
      <c r="G12" t="s">
        <v>101</v>
      </c>
      <c r="H12" t="s">
        <v>108</v>
      </c>
      <c r="I12" t="s">
        <v>108</v>
      </c>
      <c r="J12" t="s">
        <v>108</v>
      </c>
      <c r="K12" t="s">
        <v>116</v>
      </c>
      <c r="L12" t="s">
        <v>116</v>
      </c>
      <c r="M12" t="s">
        <v>116</v>
      </c>
    </row>
    <row r="13" spans="1:14" x14ac:dyDescent="0.25">
      <c r="A13" s="3" t="s">
        <v>12</v>
      </c>
      <c r="B13" t="s">
        <v>22</v>
      </c>
      <c r="C13" t="s">
        <v>22</v>
      </c>
      <c r="D13" t="s">
        <v>22</v>
      </c>
      <c r="E13" t="s">
        <v>97</v>
      </c>
      <c r="F13" t="s">
        <v>97</v>
      </c>
      <c r="G13" t="s">
        <v>97</v>
      </c>
      <c r="H13" t="s">
        <v>109</v>
      </c>
      <c r="I13" t="s">
        <v>109</v>
      </c>
      <c r="J13" t="s">
        <v>109</v>
      </c>
      <c r="K13" t="s">
        <v>117</v>
      </c>
      <c r="L13" t="s">
        <v>117</v>
      </c>
      <c r="M13" t="s">
        <v>117</v>
      </c>
    </row>
    <row r="14" spans="1:14" x14ac:dyDescent="0.25">
      <c r="A14" s="3" t="s">
        <v>13</v>
      </c>
      <c r="B14" t="s">
        <v>23</v>
      </c>
      <c r="C14" t="s">
        <v>23</v>
      </c>
      <c r="D14" t="s">
        <v>23</v>
      </c>
      <c r="E14" t="s">
        <v>102</v>
      </c>
      <c r="F14" t="s">
        <v>102</v>
      </c>
      <c r="G14" t="s">
        <v>102</v>
      </c>
      <c r="H14" t="s">
        <v>110</v>
      </c>
      <c r="I14" t="s">
        <v>110</v>
      </c>
      <c r="J14" t="s">
        <v>110</v>
      </c>
      <c r="K14" t="s">
        <v>118</v>
      </c>
      <c r="L14" t="s">
        <v>118</v>
      </c>
      <c r="M14" t="s">
        <v>118</v>
      </c>
    </row>
    <row r="15" spans="1:14" x14ac:dyDescent="0.25">
      <c r="A15" s="3" t="s">
        <v>14</v>
      </c>
      <c r="B15" t="s">
        <v>24</v>
      </c>
      <c r="C15" t="s">
        <v>24</v>
      </c>
      <c r="D15" t="s">
        <v>24</v>
      </c>
      <c r="E15" t="s">
        <v>103</v>
      </c>
      <c r="F15" t="s">
        <v>103</v>
      </c>
      <c r="G15" t="s">
        <v>103</v>
      </c>
      <c r="H15" t="s">
        <v>111</v>
      </c>
      <c r="I15" t="s">
        <v>111</v>
      </c>
      <c r="J15" t="s">
        <v>111</v>
      </c>
      <c r="K15" t="s">
        <v>119</v>
      </c>
      <c r="L15" t="s">
        <v>119</v>
      </c>
      <c r="M15" t="s">
        <v>119</v>
      </c>
    </row>
    <row r="16" spans="1:14" x14ac:dyDescent="0.25">
      <c r="A16" s="3" t="s">
        <v>15</v>
      </c>
      <c r="B16" t="s">
        <v>25</v>
      </c>
      <c r="C16" t="s">
        <v>25</v>
      </c>
      <c r="D16" t="s">
        <v>25</v>
      </c>
      <c r="E16" t="s">
        <v>104</v>
      </c>
      <c r="F16" t="s">
        <v>104</v>
      </c>
      <c r="G16" t="s">
        <v>104</v>
      </c>
      <c r="H16" t="s">
        <v>112</v>
      </c>
      <c r="I16" t="s">
        <v>112</v>
      </c>
      <c r="J16" t="s">
        <v>112</v>
      </c>
      <c r="K16" t="s">
        <v>120</v>
      </c>
      <c r="L16" t="s">
        <v>120</v>
      </c>
      <c r="M16" t="s">
        <v>120</v>
      </c>
    </row>
    <row r="17" spans="1:13" x14ac:dyDescent="0.25">
      <c r="A17" s="3" t="s">
        <v>16</v>
      </c>
      <c r="B17" t="s">
        <v>26</v>
      </c>
      <c r="C17" t="s">
        <v>26</v>
      </c>
      <c r="D17" t="s">
        <v>26</v>
      </c>
      <c r="E17" t="s">
        <v>105</v>
      </c>
      <c r="F17" t="s">
        <v>105</v>
      </c>
      <c r="G17" t="s">
        <v>105</v>
      </c>
      <c r="H17" t="s">
        <v>113</v>
      </c>
      <c r="I17" t="s">
        <v>113</v>
      </c>
      <c r="J17" t="s">
        <v>113</v>
      </c>
      <c r="K17" t="s">
        <v>121</v>
      </c>
      <c r="L17" t="s">
        <v>121</v>
      </c>
      <c r="M17" t="s">
        <v>121</v>
      </c>
    </row>
    <row r="18" spans="1:13" x14ac:dyDescent="0.25">
      <c r="A18" s="3" t="s">
        <v>17</v>
      </c>
      <c r="B18" t="s">
        <v>27</v>
      </c>
      <c r="C18" t="s">
        <v>27</v>
      </c>
      <c r="D18" t="s">
        <v>27</v>
      </c>
      <c r="E18" t="s">
        <v>106</v>
      </c>
      <c r="F18" t="s">
        <v>106</v>
      </c>
      <c r="G18" t="s">
        <v>106</v>
      </c>
      <c r="H18" t="s">
        <v>114</v>
      </c>
      <c r="I18" t="s">
        <v>114</v>
      </c>
      <c r="J18" t="s">
        <v>114</v>
      </c>
      <c r="K18" t="s">
        <v>122</v>
      </c>
      <c r="L18" t="s">
        <v>122</v>
      </c>
      <c r="M18" t="s">
        <v>122</v>
      </c>
    </row>
    <row r="19" spans="1:13" x14ac:dyDescent="0.25">
      <c r="A19" s="3" t="s">
        <v>18</v>
      </c>
      <c r="B19" t="s">
        <v>28</v>
      </c>
      <c r="C19" t="s">
        <v>28</v>
      </c>
      <c r="D19" t="s">
        <v>28</v>
      </c>
      <c r="E19" t="s">
        <v>107</v>
      </c>
      <c r="F19" t="s">
        <v>107</v>
      </c>
      <c r="G19" t="s">
        <v>107</v>
      </c>
      <c r="H19" t="s">
        <v>115</v>
      </c>
      <c r="I19" t="s">
        <v>115</v>
      </c>
      <c r="J19" t="s">
        <v>115</v>
      </c>
      <c r="K19" t="s">
        <v>123</v>
      </c>
      <c r="L19" t="s">
        <v>123</v>
      </c>
      <c r="M19" t="s">
        <v>123</v>
      </c>
    </row>
    <row r="21" spans="1:13" ht="30" x14ac:dyDescent="0.25">
      <c r="A21" s="2" t="s">
        <v>20</v>
      </c>
      <c r="B21" s="3">
        <v>1</v>
      </c>
      <c r="C21" s="3">
        <v>2</v>
      </c>
      <c r="D21" s="3">
        <v>3</v>
      </c>
      <c r="E21" s="3">
        <v>4</v>
      </c>
      <c r="F21" s="3">
        <v>5</v>
      </c>
      <c r="G21" s="3">
        <v>6</v>
      </c>
      <c r="H21" s="3">
        <v>7</v>
      </c>
      <c r="I21" s="3">
        <v>8</v>
      </c>
      <c r="J21" s="3">
        <v>9</v>
      </c>
      <c r="K21" s="3">
        <v>10</v>
      </c>
      <c r="L21" s="3">
        <v>11</v>
      </c>
      <c r="M21" s="3">
        <v>12</v>
      </c>
    </row>
    <row r="22" spans="1:13" x14ac:dyDescent="0.25">
      <c r="A22" s="3" t="s">
        <v>11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</row>
    <row r="23" spans="1:13" x14ac:dyDescent="0.25">
      <c r="A23" s="3" t="s">
        <v>12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</row>
    <row r="24" spans="1:13" x14ac:dyDescent="0.25">
      <c r="A24" s="3" t="s">
        <v>13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</row>
    <row r="25" spans="1:13" x14ac:dyDescent="0.25">
      <c r="A25" s="3" t="s">
        <v>14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</row>
    <row r="26" spans="1:13" x14ac:dyDescent="0.25">
      <c r="A26" s="3" t="s">
        <v>15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</row>
    <row r="27" spans="1:13" x14ac:dyDescent="0.25">
      <c r="A27" s="3" t="s">
        <v>16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</row>
    <row r="28" spans="1:13" x14ac:dyDescent="0.25">
      <c r="A28" s="3" t="s">
        <v>17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</row>
    <row r="29" spans="1:13" x14ac:dyDescent="0.25">
      <c r="A29" s="3" t="s">
        <v>18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4F2EC-93B9-4113-A621-ED330CB1C7DB}">
  <dimension ref="A1:N29"/>
  <sheetViews>
    <sheetView topLeftCell="A6" workbookViewId="0">
      <selection activeCell="A6" sqref="A1:XFD1048576"/>
    </sheetView>
  </sheetViews>
  <sheetFormatPr defaultRowHeight="15" x14ac:dyDescent="0.25"/>
  <sheetData>
    <row r="1" spans="1:14" x14ac:dyDescent="0.25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</row>
    <row r="2" spans="1:14" x14ac:dyDescent="0.25">
      <c r="A2" s="3" t="s">
        <v>11</v>
      </c>
      <c r="B2" s="4">
        <v>0.05</v>
      </c>
      <c r="C2" s="4">
        <v>0.05</v>
      </c>
      <c r="D2" s="4">
        <v>0.05</v>
      </c>
      <c r="E2" s="4">
        <v>0.28000000000000003</v>
      </c>
      <c r="F2" s="4">
        <v>0.26700000000000002</v>
      </c>
      <c r="G2" s="4">
        <v>0.26</v>
      </c>
      <c r="H2" s="4">
        <v>0.106</v>
      </c>
      <c r="I2" s="4">
        <v>0.108</v>
      </c>
      <c r="J2" s="4">
        <v>0.108</v>
      </c>
      <c r="K2" s="4">
        <v>0.14899999999999999</v>
      </c>
      <c r="L2" s="4">
        <v>0.13700000000000001</v>
      </c>
      <c r="M2" s="4">
        <v>0.13200000000000001</v>
      </c>
      <c r="N2" s="5">
        <v>670</v>
      </c>
    </row>
    <row r="3" spans="1:14" x14ac:dyDescent="0.25">
      <c r="A3" s="3" t="s">
        <v>12</v>
      </c>
      <c r="B3" s="4">
        <v>0.13700000000000001</v>
      </c>
      <c r="C3" s="4">
        <v>0.13300000000000001</v>
      </c>
      <c r="D3" s="4">
        <v>0.127</v>
      </c>
      <c r="E3" s="4">
        <v>0.29899999999999999</v>
      </c>
      <c r="F3" s="4">
        <v>0.28100000000000003</v>
      </c>
      <c r="G3" s="4">
        <v>0.27100000000000002</v>
      </c>
      <c r="H3" s="4">
        <v>0.12</v>
      </c>
      <c r="I3" s="4">
        <v>0.12</v>
      </c>
      <c r="J3" s="4">
        <v>0.12</v>
      </c>
      <c r="K3" s="4">
        <v>0.13</v>
      </c>
      <c r="L3" s="4">
        <v>0.11899999999999999</v>
      </c>
      <c r="M3" s="4">
        <v>0.108</v>
      </c>
      <c r="N3" s="5">
        <v>670</v>
      </c>
    </row>
    <row r="4" spans="1:14" x14ac:dyDescent="0.25">
      <c r="A4" s="3" t="s">
        <v>13</v>
      </c>
      <c r="B4" s="4">
        <v>0.30299999999999999</v>
      </c>
      <c r="C4" s="4">
        <v>0.28000000000000003</v>
      </c>
      <c r="D4" s="4">
        <v>0.251</v>
      </c>
      <c r="E4" s="4">
        <v>0.13300000000000001</v>
      </c>
      <c r="F4" s="4">
        <v>0.126</v>
      </c>
      <c r="G4" s="4">
        <v>0.14099999999999999</v>
      </c>
      <c r="H4" s="4">
        <v>0.17599999999999999</v>
      </c>
      <c r="I4" s="4">
        <v>0.16500000000000001</v>
      </c>
      <c r="J4" s="4">
        <v>0.157</v>
      </c>
      <c r="K4" s="4">
        <v>0.27800000000000002</v>
      </c>
      <c r="L4" s="4">
        <v>0.28100000000000003</v>
      </c>
      <c r="M4" s="4">
        <v>0.26700000000000002</v>
      </c>
      <c r="N4" s="5">
        <v>670</v>
      </c>
    </row>
    <row r="5" spans="1:14" x14ac:dyDescent="0.25">
      <c r="A5" s="3" t="s">
        <v>14</v>
      </c>
      <c r="B5" s="4">
        <v>0.56999999999999995</v>
      </c>
      <c r="C5" s="4">
        <v>0.622</v>
      </c>
      <c r="D5" s="4">
        <v>0.51600000000000001</v>
      </c>
      <c r="E5" s="4">
        <v>0.19700000000000001</v>
      </c>
      <c r="F5" s="4">
        <v>0.189</v>
      </c>
      <c r="G5" s="4">
        <v>0.20399999999999999</v>
      </c>
      <c r="H5" s="4">
        <v>9.4E-2</v>
      </c>
      <c r="I5" s="4">
        <v>0.111</v>
      </c>
      <c r="J5" s="4">
        <v>0.10100000000000001</v>
      </c>
      <c r="K5" s="4">
        <v>0.48799999999999999</v>
      </c>
      <c r="L5" s="4">
        <v>0.47</v>
      </c>
      <c r="M5" s="4">
        <v>0.49</v>
      </c>
      <c r="N5" s="5">
        <v>670</v>
      </c>
    </row>
    <row r="6" spans="1:14" x14ac:dyDescent="0.25">
      <c r="A6" s="3" t="s">
        <v>15</v>
      </c>
      <c r="B6" s="4">
        <v>0.92</v>
      </c>
      <c r="C6" s="4">
        <v>0.95</v>
      </c>
      <c r="D6" s="4">
        <v>1.2430000000000001</v>
      </c>
      <c r="E6" s="4">
        <v>0.14399999999999999</v>
      </c>
      <c r="F6" s="4">
        <v>0.16800000000000001</v>
      </c>
      <c r="G6" s="4">
        <v>0.16200000000000001</v>
      </c>
      <c r="H6" s="4">
        <v>0.10299999999999999</v>
      </c>
      <c r="I6" s="4">
        <v>0.1</v>
      </c>
      <c r="J6" s="4">
        <v>9.4E-2</v>
      </c>
      <c r="K6" s="4">
        <v>5.0999999999999997E-2</v>
      </c>
      <c r="L6" s="4">
        <v>5.1999999999999998E-2</v>
      </c>
      <c r="M6" s="4">
        <v>5.1999999999999998E-2</v>
      </c>
      <c r="N6" s="5">
        <v>670</v>
      </c>
    </row>
    <row r="7" spans="1:14" x14ac:dyDescent="0.25">
      <c r="A7" s="3" t="s">
        <v>16</v>
      </c>
      <c r="B7" s="4">
        <v>1.4119999999999999</v>
      </c>
      <c r="C7" s="4">
        <v>1.6519999999999999</v>
      </c>
      <c r="D7" s="4">
        <v>1.55</v>
      </c>
      <c r="E7" s="4">
        <v>0.109</v>
      </c>
      <c r="F7" s="4">
        <v>0.113</v>
      </c>
      <c r="G7" s="4">
        <v>0.10299999999999999</v>
      </c>
      <c r="H7" s="4">
        <v>0.434</v>
      </c>
      <c r="I7" s="4">
        <v>0.44600000000000001</v>
      </c>
      <c r="J7" s="4">
        <v>0.41</v>
      </c>
      <c r="K7" s="4">
        <v>7.4999999999999997E-2</v>
      </c>
      <c r="L7" s="4">
        <v>7.5999999999999998E-2</v>
      </c>
      <c r="M7" s="4">
        <v>8.5000000000000006E-2</v>
      </c>
      <c r="N7" s="5">
        <v>670</v>
      </c>
    </row>
    <row r="8" spans="1:14" x14ac:dyDescent="0.25">
      <c r="A8" s="3" t="s">
        <v>17</v>
      </c>
      <c r="B8" s="4">
        <v>1.5609999999999999</v>
      </c>
      <c r="C8" s="4">
        <v>1.4530000000000001</v>
      </c>
      <c r="D8" s="4">
        <v>1.5469999999999999</v>
      </c>
      <c r="E8" s="4">
        <v>6.5000000000000002E-2</v>
      </c>
      <c r="F8" s="4">
        <v>6.5000000000000002E-2</v>
      </c>
      <c r="G8" s="4">
        <v>6.2E-2</v>
      </c>
      <c r="H8" s="4">
        <v>0.44500000000000001</v>
      </c>
      <c r="I8" s="4">
        <v>0.45500000000000002</v>
      </c>
      <c r="J8" s="4">
        <v>0.34499999999999997</v>
      </c>
      <c r="K8" s="4">
        <v>0.21099999999999999</v>
      </c>
      <c r="L8" s="4">
        <v>0.20399999999999999</v>
      </c>
      <c r="M8" s="4">
        <v>0.214</v>
      </c>
      <c r="N8" s="5">
        <v>670</v>
      </c>
    </row>
    <row r="9" spans="1:14" x14ac:dyDescent="0.25">
      <c r="A9" s="3" t="s">
        <v>18</v>
      </c>
      <c r="B9" s="4">
        <v>1.6919999999999999</v>
      </c>
      <c r="C9" s="4">
        <v>1.5649999999999999</v>
      </c>
      <c r="D9" s="4">
        <v>1.577</v>
      </c>
      <c r="E9" s="4">
        <v>0.10199999999999999</v>
      </c>
      <c r="F9" s="4">
        <v>0.107</v>
      </c>
      <c r="G9" s="4">
        <v>9.5000000000000001E-2</v>
      </c>
      <c r="H9" s="4">
        <v>0.19800000000000001</v>
      </c>
      <c r="I9" s="4">
        <v>0.17599999999999999</v>
      </c>
      <c r="J9" s="4">
        <v>0.17599999999999999</v>
      </c>
      <c r="K9" s="4">
        <v>0.14599999999999999</v>
      </c>
      <c r="L9" s="4">
        <v>0.152</v>
      </c>
      <c r="M9" s="4">
        <v>0.14799999999999999</v>
      </c>
      <c r="N9" s="5">
        <v>670</v>
      </c>
    </row>
    <row r="11" spans="1:14" x14ac:dyDescent="0.25">
      <c r="A11" s="2" t="s">
        <v>19</v>
      </c>
      <c r="B11" s="3">
        <v>1</v>
      </c>
      <c r="C11" s="3">
        <v>2</v>
      </c>
      <c r="D11" s="3">
        <v>3</v>
      </c>
      <c r="E11" s="3">
        <v>4</v>
      </c>
      <c r="F11" s="3">
        <v>5</v>
      </c>
      <c r="G11" s="3">
        <v>6</v>
      </c>
      <c r="H11" s="3">
        <v>7</v>
      </c>
      <c r="I11" s="3">
        <v>8</v>
      </c>
      <c r="J11" s="3">
        <v>9</v>
      </c>
      <c r="K11" s="3">
        <v>10</v>
      </c>
      <c r="L11" s="3">
        <v>11</v>
      </c>
      <c r="M11" s="3">
        <v>12</v>
      </c>
    </row>
    <row r="12" spans="1:14" x14ac:dyDescent="0.25">
      <c r="A12" s="3" t="s">
        <v>11</v>
      </c>
      <c r="B12" t="s">
        <v>21</v>
      </c>
      <c r="C12" t="s">
        <v>21</v>
      </c>
      <c r="D12" t="s">
        <v>21</v>
      </c>
      <c r="E12" t="s">
        <v>124</v>
      </c>
      <c r="F12" t="s">
        <v>124</v>
      </c>
      <c r="G12" t="s">
        <v>124</v>
      </c>
      <c r="H12" t="s">
        <v>132</v>
      </c>
      <c r="I12" t="s">
        <v>132</v>
      </c>
      <c r="J12" t="s">
        <v>132</v>
      </c>
      <c r="K12" t="s">
        <v>138</v>
      </c>
      <c r="L12" t="s">
        <v>138</v>
      </c>
      <c r="M12" t="s">
        <v>138</v>
      </c>
    </row>
    <row r="13" spans="1:14" x14ac:dyDescent="0.25">
      <c r="A13" s="3" t="s">
        <v>12</v>
      </c>
      <c r="B13" t="s">
        <v>22</v>
      </c>
      <c r="C13" t="s">
        <v>22</v>
      </c>
      <c r="D13" t="s">
        <v>22</v>
      </c>
      <c r="E13" t="s">
        <v>125</v>
      </c>
      <c r="F13" t="s">
        <v>125</v>
      </c>
      <c r="G13" t="s">
        <v>125</v>
      </c>
      <c r="H13" t="s">
        <v>133</v>
      </c>
      <c r="I13" t="s">
        <v>133</v>
      </c>
      <c r="J13" t="s">
        <v>133</v>
      </c>
      <c r="K13" t="s">
        <v>139</v>
      </c>
      <c r="L13" t="s">
        <v>139</v>
      </c>
      <c r="M13" t="s">
        <v>139</v>
      </c>
    </row>
    <row r="14" spans="1:14" x14ac:dyDescent="0.25">
      <c r="A14" s="3" t="s">
        <v>13</v>
      </c>
      <c r="B14" t="s">
        <v>23</v>
      </c>
      <c r="C14" t="s">
        <v>23</v>
      </c>
      <c r="D14" t="s">
        <v>23</v>
      </c>
      <c r="E14" t="s">
        <v>126</v>
      </c>
      <c r="F14" t="s">
        <v>126</v>
      </c>
      <c r="G14" t="s">
        <v>126</v>
      </c>
      <c r="H14" t="s">
        <v>134</v>
      </c>
      <c r="I14" t="s">
        <v>134</v>
      </c>
      <c r="J14" t="s">
        <v>134</v>
      </c>
      <c r="K14" t="s">
        <v>142</v>
      </c>
      <c r="L14" t="s">
        <v>142</v>
      </c>
      <c r="M14" t="s">
        <v>142</v>
      </c>
    </row>
    <row r="15" spans="1:14" x14ac:dyDescent="0.25">
      <c r="A15" s="3" t="s">
        <v>14</v>
      </c>
      <c r="B15" t="s">
        <v>24</v>
      </c>
      <c r="C15" t="s">
        <v>24</v>
      </c>
      <c r="D15" t="s">
        <v>24</v>
      </c>
      <c r="E15" t="s">
        <v>127</v>
      </c>
      <c r="F15" t="s">
        <v>127</v>
      </c>
      <c r="G15" t="s">
        <v>127</v>
      </c>
      <c r="H15" t="s">
        <v>135</v>
      </c>
      <c r="I15" t="s">
        <v>135</v>
      </c>
      <c r="J15" t="s">
        <v>135</v>
      </c>
      <c r="K15" t="s">
        <v>143</v>
      </c>
      <c r="L15" t="s">
        <v>143</v>
      </c>
      <c r="M15" t="s">
        <v>143</v>
      </c>
    </row>
    <row r="16" spans="1:14" x14ac:dyDescent="0.25">
      <c r="A16" s="3" t="s">
        <v>15</v>
      </c>
      <c r="B16" t="s">
        <v>25</v>
      </c>
      <c r="C16" t="s">
        <v>25</v>
      </c>
      <c r="D16" t="s">
        <v>25</v>
      </c>
      <c r="E16" t="s">
        <v>128</v>
      </c>
      <c r="F16" t="s">
        <v>128</v>
      </c>
      <c r="G16" t="s">
        <v>128</v>
      </c>
      <c r="H16" t="s">
        <v>141</v>
      </c>
      <c r="I16" t="s">
        <v>141</v>
      </c>
      <c r="J16" t="s">
        <v>141</v>
      </c>
      <c r="K16" t="s">
        <v>144</v>
      </c>
      <c r="L16" t="s">
        <v>144</v>
      </c>
      <c r="M16" t="s">
        <v>144</v>
      </c>
    </row>
    <row r="17" spans="1:13" x14ac:dyDescent="0.25">
      <c r="A17" s="3" t="s">
        <v>16</v>
      </c>
      <c r="B17" t="s">
        <v>26</v>
      </c>
      <c r="C17" t="s">
        <v>26</v>
      </c>
      <c r="D17" t="s">
        <v>26</v>
      </c>
      <c r="E17" t="s">
        <v>129</v>
      </c>
      <c r="F17" t="s">
        <v>129</v>
      </c>
      <c r="G17" t="s">
        <v>129</v>
      </c>
      <c r="H17" t="s">
        <v>136</v>
      </c>
      <c r="I17" t="s">
        <v>136</v>
      </c>
      <c r="J17" t="s">
        <v>136</v>
      </c>
      <c r="K17" t="s">
        <v>145</v>
      </c>
      <c r="L17" t="s">
        <v>145</v>
      </c>
      <c r="M17" t="s">
        <v>145</v>
      </c>
    </row>
    <row r="18" spans="1:13" x14ac:dyDescent="0.25">
      <c r="A18" s="3" t="s">
        <v>17</v>
      </c>
      <c r="B18" t="s">
        <v>27</v>
      </c>
      <c r="C18" t="s">
        <v>27</v>
      </c>
      <c r="D18" t="s">
        <v>27</v>
      </c>
      <c r="E18" t="s">
        <v>130</v>
      </c>
      <c r="F18" t="s">
        <v>130</v>
      </c>
      <c r="G18" t="s">
        <v>130</v>
      </c>
      <c r="H18" t="s">
        <v>140</v>
      </c>
      <c r="I18" t="s">
        <v>140</v>
      </c>
      <c r="J18" t="s">
        <v>140</v>
      </c>
      <c r="K18" t="s">
        <v>146</v>
      </c>
      <c r="L18" t="s">
        <v>146</v>
      </c>
      <c r="M18" t="s">
        <v>146</v>
      </c>
    </row>
    <row r="19" spans="1:13" x14ac:dyDescent="0.25">
      <c r="A19" s="3" t="s">
        <v>18</v>
      </c>
      <c r="B19" t="s">
        <v>28</v>
      </c>
      <c r="C19" t="s">
        <v>28</v>
      </c>
      <c r="D19" t="s">
        <v>28</v>
      </c>
      <c r="E19" t="s">
        <v>131</v>
      </c>
      <c r="F19" t="s">
        <v>131</v>
      </c>
      <c r="G19" t="s">
        <v>131</v>
      </c>
      <c r="H19" t="s">
        <v>137</v>
      </c>
      <c r="I19" t="s">
        <v>137</v>
      </c>
      <c r="J19" t="s">
        <v>137</v>
      </c>
      <c r="K19" t="s">
        <v>147</v>
      </c>
      <c r="L19" t="s">
        <v>147</v>
      </c>
      <c r="M19" t="s">
        <v>147</v>
      </c>
    </row>
    <row r="21" spans="1:13" ht="30" x14ac:dyDescent="0.25">
      <c r="A21" s="2" t="s">
        <v>20</v>
      </c>
      <c r="B21" s="3">
        <v>1</v>
      </c>
      <c r="C21" s="3">
        <v>2</v>
      </c>
      <c r="D21" s="3">
        <v>3</v>
      </c>
      <c r="E21" s="3">
        <v>4</v>
      </c>
      <c r="F21" s="3">
        <v>5</v>
      </c>
      <c r="G21" s="3">
        <v>6</v>
      </c>
      <c r="H21" s="3">
        <v>7</v>
      </c>
      <c r="I21" s="3">
        <v>8</v>
      </c>
      <c r="J21" s="3">
        <v>9</v>
      </c>
      <c r="K21" s="3">
        <v>10</v>
      </c>
      <c r="L21" s="3">
        <v>11</v>
      </c>
      <c r="M21" s="3">
        <v>12</v>
      </c>
    </row>
    <row r="22" spans="1:13" x14ac:dyDescent="0.25">
      <c r="A22" s="3" t="s">
        <v>11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</row>
    <row r="23" spans="1:13" x14ac:dyDescent="0.25">
      <c r="A23" s="3" t="s">
        <v>12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</row>
    <row r="24" spans="1:13" x14ac:dyDescent="0.25">
      <c r="A24" s="3" t="s">
        <v>13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</row>
    <row r="25" spans="1:13" x14ac:dyDescent="0.25">
      <c r="A25" s="3" t="s">
        <v>14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</row>
    <row r="26" spans="1:13" x14ac:dyDescent="0.25">
      <c r="A26" s="3" t="s">
        <v>15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10</v>
      </c>
      <c r="L26">
        <v>10</v>
      </c>
      <c r="M26">
        <v>10</v>
      </c>
    </row>
    <row r="27" spans="1:13" x14ac:dyDescent="0.25">
      <c r="A27" s="3" t="s">
        <v>16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10</v>
      </c>
      <c r="L27">
        <v>10</v>
      </c>
      <c r="M27">
        <v>10</v>
      </c>
    </row>
    <row r="28" spans="1:13" x14ac:dyDescent="0.25">
      <c r="A28" s="3" t="s">
        <v>17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10</v>
      </c>
      <c r="L28">
        <v>10</v>
      </c>
      <c r="M28">
        <v>10</v>
      </c>
    </row>
    <row r="29" spans="1:13" x14ac:dyDescent="0.25">
      <c r="A29" s="3" t="s">
        <v>18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10</v>
      </c>
      <c r="L29">
        <v>10</v>
      </c>
      <c r="M29">
        <v>10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DC5CD-DD3C-4849-8E11-4EC917D24730}">
  <dimension ref="A1:N29"/>
  <sheetViews>
    <sheetView tabSelected="1" workbookViewId="0">
      <selection sqref="A1:XFD1048576"/>
    </sheetView>
  </sheetViews>
  <sheetFormatPr defaultRowHeight="15" x14ac:dyDescent="0.25"/>
  <sheetData>
    <row r="1" spans="1:14" x14ac:dyDescent="0.25">
      <c r="A1" s="2" t="s">
        <v>3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</row>
    <row r="2" spans="1:14" x14ac:dyDescent="0.25">
      <c r="A2" s="3" t="s">
        <v>11</v>
      </c>
      <c r="B2" s="4">
        <v>5.0999999999999997E-2</v>
      </c>
      <c r="C2" s="4">
        <v>0.05</v>
      </c>
      <c r="D2" s="4">
        <v>5.0999999999999997E-2</v>
      </c>
      <c r="E2" s="4">
        <v>0.46899999999999997</v>
      </c>
      <c r="F2" s="4">
        <v>0.51</v>
      </c>
      <c r="G2" s="4">
        <v>0.48099999999999998</v>
      </c>
      <c r="H2" s="4">
        <v>2.8029999999999999</v>
      </c>
      <c r="I2" s="4">
        <v>2.714</v>
      </c>
      <c r="J2" s="4">
        <v>2.5310000000000001</v>
      </c>
      <c r="K2" s="4">
        <v>1.2709999999999999</v>
      </c>
      <c r="L2" s="4">
        <v>1.29</v>
      </c>
      <c r="M2" s="4">
        <v>1.415</v>
      </c>
      <c r="N2" s="5">
        <v>670</v>
      </c>
    </row>
    <row r="3" spans="1:14" x14ac:dyDescent="0.25">
      <c r="A3" s="3" t="s">
        <v>12</v>
      </c>
      <c r="B3" s="4">
        <v>0.189</v>
      </c>
      <c r="C3" s="4">
        <v>0.16800000000000001</v>
      </c>
      <c r="D3" s="4">
        <v>0.14199999999999999</v>
      </c>
      <c r="E3" s="4">
        <v>0.42399999999999999</v>
      </c>
      <c r="F3" s="4">
        <v>0.41</v>
      </c>
      <c r="G3" s="4">
        <v>0.39400000000000002</v>
      </c>
      <c r="H3" s="4">
        <v>2.4470000000000001</v>
      </c>
      <c r="I3" s="4">
        <v>2.746</v>
      </c>
      <c r="J3" s="4">
        <v>2.5070000000000001</v>
      </c>
      <c r="K3" s="4">
        <v>0.98099999999999998</v>
      </c>
      <c r="L3" s="4">
        <v>0.91900000000000004</v>
      </c>
      <c r="M3" s="4">
        <v>1.105</v>
      </c>
      <c r="N3" s="5">
        <v>670</v>
      </c>
    </row>
    <row r="4" spans="1:14" x14ac:dyDescent="0.25">
      <c r="A4" s="3" t="s">
        <v>13</v>
      </c>
      <c r="B4" s="4">
        <v>0.25600000000000001</v>
      </c>
      <c r="C4" s="4">
        <v>0.26</v>
      </c>
      <c r="D4" s="4">
        <v>0.29799999999999999</v>
      </c>
      <c r="E4" s="4">
        <v>0.309</v>
      </c>
      <c r="F4" s="4">
        <v>0.29199999999999998</v>
      </c>
      <c r="G4" s="4">
        <v>0.34100000000000003</v>
      </c>
      <c r="H4" s="4">
        <v>2.9769999999999999</v>
      </c>
      <c r="I4" s="4">
        <v>2.8660000000000001</v>
      </c>
      <c r="J4" s="4">
        <v>3.2229999999999999</v>
      </c>
      <c r="K4" s="4">
        <v>0.98099999999999998</v>
      </c>
      <c r="L4" s="4">
        <v>0.96799999999999997</v>
      </c>
      <c r="M4" s="4">
        <v>0.90500000000000003</v>
      </c>
      <c r="N4" s="5">
        <v>670</v>
      </c>
    </row>
    <row r="5" spans="1:14" x14ac:dyDescent="0.25">
      <c r="A5" s="3" t="s">
        <v>14</v>
      </c>
      <c r="B5" s="4">
        <v>0.59899999999999998</v>
      </c>
      <c r="C5" s="4">
        <v>0.59099999999999997</v>
      </c>
      <c r="D5" s="4">
        <v>0.63900000000000001</v>
      </c>
      <c r="E5" s="4">
        <v>0.316</v>
      </c>
      <c r="F5" s="4">
        <v>0.28000000000000003</v>
      </c>
      <c r="G5" s="4">
        <v>0.308</v>
      </c>
      <c r="H5" s="4">
        <v>1.9770000000000001</v>
      </c>
      <c r="I5" s="4">
        <v>2.0089999999999999</v>
      </c>
      <c r="J5" s="4">
        <v>1.9219999999999999</v>
      </c>
      <c r="K5" s="4">
        <v>2.7530000000000001</v>
      </c>
      <c r="L5" s="4">
        <v>2.5979999999999999</v>
      </c>
      <c r="M5" s="4">
        <v>2.629</v>
      </c>
      <c r="N5" s="5">
        <v>670</v>
      </c>
    </row>
    <row r="6" spans="1:14" x14ac:dyDescent="0.25">
      <c r="A6" s="3" t="s">
        <v>15</v>
      </c>
      <c r="B6" s="4">
        <v>0.97799999999999998</v>
      </c>
      <c r="C6" s="4">
        <v>1.0169999999999999</v>
      </c>
      <c r="D6" s="4">
        <v>1.0149999999999999</v>
      </c>
      <c r="E6" s="4">
        <v>0.25800000000000001</v>
      </c>
      <c r="F6" s="4">
        <v>0.24399999999999999</v>
      </c>
      <c r="G6" s="4">
        <v>0.255</v>
      </c>
      <c r="H6" s="4">
        <v>2.0099999999999998</v>
      </c>
      <c r="I6" s="4">
        <v>1.9430000000000001</v>
      </c>
      <c r="J6" s="4">
        <v>1.87</v>
      </c>
      <c r="K6" s="4">
        <v>6.7000000000000004E-2</v>
      </c>
      <c r="L6" s="4">
        <v>6.9000000000000006E-2</v>
      </c>
      <c r="M6" s="4">
        <v>6.4000000000000001E-2</v>
      </c>
      <c r="N6" s="5">
        <v>670</v>
      </c>
    </row>
    <row r="7" spans="1:14" x14ac:dyDescent="0.25">
      <c r="A7" s="3" t="s">
        <v>16</v>
      </c>
      <c r="B7" s="4">
        <v>1.639</v>
      </c>
      <c r="C7" s="4">
        <v>1.603</v>
      </c>
      <c r="D7" s="4">
        <v>1.6679999999999999</v>
      </c>
      <c r="E7" s="4">
        <v>0.23799999999999999</v>
      </c>
      <c r="F7" s="4">
        <v>0.218</v>
      </c>
      <c r="G7" s="4">
        <v>0.23499999999999999</v>
      </c>
      <c r="H7" s="4">
        <v>2.5169999999999999</v>
      </c>
      <c r="I7" s="4">
        <v>2.4910000000000001</v>
      </c>
      <c r="J7" s="4">
        <v>2.5350000000000001</v>
      </c>
      <c r="K7" s="4">
        <v>0.13700000000000001</v>
      </c>
      <c r="L7" s="4">
        <v>0.13200000000000001</v>
      </c>
      <c r="M7" s="4">
        <v>0.13400000000000001</v>
      </c>
      <c r="N7" s="5">
        <v>670</v>
      </c>
    </row>
    <row r="8" spans="1:14" x14ac:dyDescent="0.25">
      <c r="A8" s="3" t="s">
        <v>17</v>
      </c>
      <c r="B8" s="4">
        <v>1.5329999999999999</v>
      </c>
      <c r="C8" s="4">
        <v>1.4330000000000001</v>
      </c>
      <c r="D8" s="4">
        <v>1.5760000000000001</v>
      </c>
      <c r="E8" s="4">
        <v>0.188</v>
      </c>
      <c r="F8" s="4">
        <v>0.186</v>
      </c>
      <c r="G8" s="4">
        <v>0.186</v>
      </c>
      <c r="H8" s="4">
        <v>2.5289999999999999</v>
      </c>
      <c r="I8" s="4">
        <v>2.5449999999999999</v>
      </c>
      <c r="J8" s="4">
        <v>2.67</v>
      </c>
      <c r="K8" s="4">
        <v>0.63200000000000001</v>
      </c>
      <c r="L8" s="4">
        <v>0.63600000000000001</v>
      </c>
      <c r="M8" s="4">
        <v>0.61599999999999999</v>
      </c>
      <c r="N8" s="5">
        <v>670</v>
      </c>
    </row>
    <row r="9" spans="1:14" x14ac:dyDescent="0.25">
      <c r="A9" s="3" t="s">
        <v>18</v>
      </c>
      <c r="B9" s="4">
        <v>1.5329999999999999</v>
      </c>
      <c r="C9" s="4">
        <v>1.5580000000000001</v>
      </c>
      <c r="D9" s="4">
        <v>1.6180000000000001</v>
      </c>
      <c r="E9" s="4">
        <v>0.19700000000000001</v>
      </c>
      <c r="F9" s="4">
        <v>0.14099999999999999</v>
      </c>
      <c r="G9" s="4">
        <v>0.186</v>
      </c>
      <c r="H9" s="4">
        <v>2.9830000000000001</v>
      </c>
      <c r="I9" s="4">
        <v>3.149</v>
      </c>
      <c r="J9" s="4">
        <v>3.0920000000000001</v>
      </c>
      <c r="K9" s="4">
        <v>0.47399999999999998</v>
      </c>
      <c r="L9" s="4">
        <v>0.433</v>
      </c>
      <c r="M9" s="4">
        <v>0.38900000000000001</v>
      </c>
      <c r="N9" s="5">
        <v>670</v>
      </c>
    </row>
    <row r="11" spans="1:14" x14ac:dyDescent="0.25">
      <c r="A11" s="2" t="s">
        <v>19</v>
      </c>
      <c r="B11" s="3">
        <v>1</v>
      </c>
      <c r="C11" s="3">
        <v>2</v>
      </c>
      <c r="D11" s="3">
        <v>3</v>
      </c>
      <c r="E11" s="3">
        <v>4</v>
      </c>
      <c r="F11" s="3">
        <v>5</v>
      </c>
      <c r="G11" s="3">
        <v>6</v>
      </c>
      <c r="H11" s="3">
        <v>7</v>
      </c>
      <c r="I11" s="3">
        <v>8</v>
      </c>
      <c r="J11" s="3">
        <v>9</v>
      </c>
      <c r="K11" s="3">
        <v>10</v>
      </c>
      <c r="L11" s="3">
        <v>11</v>
      </c>
      <c r="M11" s="3">
        <v>12</v>
      </c>
    </row>
    <row r="12" spans="1:14" x14ac:dyDescent="0.25">
      <c r="A12" s="3" t="s">
        <v>11</v>
      </c>
      <c r="B12" t="s">
        <v>21</v>
      </c>
      <c r="C12" t="s">
        <v>21</v>
      </c>
      <c r="D12" t="s">
        <v>21</v>
      </c>
      <c r="E12" t="s">
        <v>148</v>
      </c>
      <c r="F12" t="s">
        <v>148</v>
      </c>
      <c r="G12" t="s">
        <v>148</v>
      </c>
      <c r="H12" t="s">
        <v>45</v>
      </c>
      <c r="I12" t="s">
        <v>45</v>
      </c>
      <c r="J12" t="s">
        <v>45</v>
      </c>
      <c r="K12" t="s">
        <v>48</v>
      </c>
      <c r="L12" t="s">
        <v>48</v>
      </c>
      <c r="M12" t="s">
        <v>48</v>
      </c>
    </row>
    <row r="13" spans="1:14" x14ac:dyDescent="0.25">
      <c r="A13" s="3" t="s">
        <v>12</v>
      </c>
      <c r="B13" t="s">
        <v>22</v>
      </c>
      <c r="C13" t="s">
        <v>22</v>
      </c>
      <c r="D13" t="s">
        <v>22</v>
      </c>
      <c r="E13" t="s">
        <v>149</v>
      </c>
      <c r="F13" t="s">
        <v>149</v>
      </c>
      <c r="G13" t="s">
        <v>149</v>
      </c>
      <c r="H13" t="s">
        <v>51</v>
      </c>
      <c r="I13" t="s">
        <v>51</v>
      </c>
      <c r="J13" t="s">
        <v>51</v>
      </c>
      <c r="K13" t="s">
        <v>49</v>
      </c>
      <c r="L13" t="s">
        <v>49</v>
      </c>
      <c r="M13" t="s">
        <v>49</v>
      </c>
    </row>
    <row r="14" spans="1:14" x14ac:dyDescent="0.25">
      <c r="A14" s="3" t="s">
        <v>13</v>
      </c>
      <c r="B14" t="s">
        <v>23</v>
      </c>
      <c r="C14" t="s">
        <v>23</v>
      </c>
      <c r="D14" t="s">
        <v>23</v>
      </c>
      <c r="E14" t="s">
        <v>150</v>
      </c>
      <c r="F14" t="s">
        <v>150</v>
      </c>
      <c r="G14" t="s">
        <v>150</v>
      </c>
      <c r="H14" t="s">
        <v>50</v>
      </c>
      <c r="I14" t="s">
        <v>50</v>
      </c>
      <c r="J14" t="s">
        <v>50</v>
      </c>
      <c r="K14" t="s">
        <v>101</v>
      </c>
      <c r="L14" t="s">
        <v>101</v>
      </c>
      <c r="M14" t="s">
        <v>101</v>
      </c>
    </row>
    <row r="15" spans="1:14" x14ac:dyDescent="0.25">
      <c r="A15" s="3" t="s">
        <v>14</v>
      </c>
      <c r="B15" t="s">
        <v>24</v>
      </c>
      <c r="C15" t="s">
        <v>24</v>
      </c>
      <c r="D15" t="s">
        <v>24</v>
      </c>
      <c r="E15" t="s">
        <v>151</v>
      </c>
      <c r="F15" t="s">
        <v>151</v>
      </c>
      <c r="G15" t="s">
        <v>151</v>
      </c>
      <c r="H15" t="s">
        <v>52</v>
      </c>
      <c r="I15" t="s">
        <v>52</v>
      </c>
      <c r="J15" t="s">
        <v>52</v>
      </c>
      <c r="K15" t="s">
        <v>158</v>
      </c>
      <c r="L15" t="s">
        <v>158</v>
      </c>
      <c r="M15" t="s">
        <v>158</v>
      </c>
    </row>
    <row r="16" spans="1:14" x14ac:dyDescent="0.25">
      <c r="A16" s="3" t="s">
        <v>15</v>
      </c>
      <c r="B16" t="s">
        <v>25</v>
      </c>
      <c r="C16" t="s">
        <v>25</v>
      </c>
      <c r="D16" t="s">
        <v>25</v>
      </c>
      <c r="E16" t="s">
        <v>152</v>
      </c>
      <c r="F16" t="s">
        <v>152</v>
      </c>
      <c r="G16" t="s">
        <v>152</v>
      </c>
      <c r="H16" t="s">
        <v>156</v>
      </c>
      <c r="I16" t="s">
        <v>156</v>
      </c>
      <c r="J16" t="s">
        <v>156</v>
      </c>
      <c r="K16" t="s">
        <v>144</v>
      </c>
      <c r="L16" t="s">
        <v>144</v>
      </c>
      <c r="M16" t="s">
        <v>144</v>
      </c>
    </row>
    <row r="17" spans="1:13" x14ac:dyDescent="0.25">
      <c r="A17" s="3" t="s">
        <v>16</v>
      </c>
      <c r="B17" t="s">
        <v>26</v>
      </c>
      <c r="C17" t="s">
        <v>26</v>
      </c>
      <c r="D17" t="s">
        <v>26</v>
      </c>
      <c r="E17" t="s">
        <v>153</v>
      </c>
      <c r="F17" t="s">
        <v>153</v>
      </c>
      <c r="G17" t="s">
        <v>153</v>
      </c>
      <c r="H17" t="s">
        <v>46</v>
      </c>
      <c r="I17" t="s">
        <v>46</v>
      </c>
      <c r="J17" t="s">
        <v>46</v>
      </c>
      <c r="K17" t="s">
        <v>145</v>
      </c>
      <c r="L17" t="s">
        <v>145</v>
      </c>
      <c r="M17" t="s">
        <v>145</v>
      </c>
    </row>
    <row r="18" spans="1:13" x14ac:dyDescent="0.25">
      <c r="A18" s="3" t="s">
        <v>17</v>
      </c>
      <c r="B18" t="s">
        <v>27</v>
      </c>
      <c r="C18" t="s">
        <v>27</v>
      </c>
      <c r="D18" t="s">
        <v>27</v>
      </c>
      <c r="E18" t="s">
        <v>154</v>
      </c>
      <c r="F18" t="s">
        <v>154</v>
      </c>
      <c r="G18" t="s">
        <v>154</v>
      </c>
      <c r="H18" t="s">
        <v>157</v>
      </c>
      <c r="I18" t="s">
        <v>157</v>
      </c>
      <c r="J18" t="s">
        <v>157</v>
      </c>
      <c r="K18" t="s">
        <v>146</v>
      </c>
      <c r="L18" t="s">
        <v>146</v>
      </c>
      <c r="M18" t="s">
        <v>146</v>
      </c>
    </row>
    <row r="19" spans="1:13" x14ac:dyDescent="0.25">
      <c r="A19" s="3" t="s">
        <v>18</v>
      </c>
      <c r="B19" t="s">
        <v>28</v>
      </c>
      <c r="C19" t="s">
        <v>28</v>
      </c>
      <c r="D19" t="s">
        <v>28</v>
      </c>
      <c r="E19" t="s">
        <v>155</v>
      </c>
      <c r="F19" t="s">
        <v>155</v>
      </c>
      <c r="G19" t="s">
        <v>155</v>
      </c>
      <c r="H19" t="s">
        <v>47</v>
      </c>
      <c r="I19" t="s">
        <v>47</v>
      </c>
      <c r="J19" t="s">
        <v>47</v>
      </c>
      <c r="K19" t="s">
        <v>147</v>
      </c>
      <c r="L19" t="s">
        <v>147</v>
      </c>
      <c r="M19" t="s">
        <v>147</v>
      </c>
    </row>
    <row r="21" spans="1:13" ht="30" x14ac:dyDescent="0.25">
      <c r="A21" s="2" t="s">
        <v>20</v>
      </c>
      <c r="B21" s="3">
        <v>1</v>
      </c>
      <c r="C21" s="3">
        <v>2</v>
      </c>
      <c r="D21" s="3">
        <v>3</v>
      </c>
      <c r="E21" s="3">
        <v>4</v>
      </c>
      <c r="F21" s="3">
        <v>5</v>
      </c>
      <c r="G21" s="3">
        <v>6</v>
      </c>
      <c r="H21" s="3">
        <v>7</v>
      </c>
      <c r="I21" s="3">
        <v>8</v>
      </c>
      <c r="J21" s="3">
        <v>9</v>
      </c>
      <c r="K21" s="3">
        <v>10</v>
      </c>
      <c r="L21" s="3">
        <v>11</v>
      </c>
      <c r="M21" s="3">
        <v>12</v>
      </c>
    </row>
    <row r="22" spans="1:13" x14ac:dyDescent="0.25">
      <c r="A22" s="3" t="s">
        <v>11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10</v>
      </c>
      <c r="I22">
        <v>10</v>
      </c>
      <c r="J22">
        <v>10</v>
      </c>
      <c r="K22">
        <v>10</v>
      </c>
      <c r="L22">
        <v>10</v>
      </c>
      <c r="M22">
        <v>10</v>
      </c>
    </row>
    <row r="23" spans="1:13" x14ac:dyDescent="0.25">
      <c r="A23" s="3" t="s">
        <v>12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10</v>
      </c>
      <c r="I23">
        <v>10</v>
      </c>
      <c r="J23">
        <v>10</v>
      </c>
      <c r="K23">
        <v>10</v>
      </c>
      <c r="L23">
        <v>10</v>
      </c>
      <c r="M23">
        <v>10</v>
      </c>
    </row>
    <row r="24" spans="1:13" x14ac:dyDescent="0.25">
      <c r="A24" s="3" t="s">
        <v>13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10</v>
      </c>
      <c r="I24">
        <v>10</v>
      </c>
      <c r="J24">
        <v>10</v>
      </c>
      <c r="K24">
        <v>10</v>
      </c>
      <c r="L24">
        <v>10</v>
      </c>
      <c r="M24">
        <v>10</v>
      </c>
    </row>
    <row r="25" spans="1:13" x14ac:dyDescent="0.25">
      <c r="A25" s="3" t="s">
        <v>14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10</v>
      </c>
      <c r="I25">
        <v>10</v>
      </c>
      <c r="J25">
        <v>10</v>
      </c>
      <c r="K25">
        <v>10</v>
      </c>
      <c r="L25">
        <v>10</v>
      </c>
      <c r="M25">
        <v>10</v>
      </c>
    </row>
    <row r="26" spans="1:13" x14ac:dyDescent="0.25">
      <c r="A26" s="3" t="s">
        <v>15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10</v>
      </c>
      <c r="I26">
        <v>10</v>
      </c>
      <c r="J26">
        <v>10</v>
      </c>
      <c r="K26">
        <v>1</v>
      </c>
      <c r="L26">
        <v>1</v>
      </c>
      <c r="M26">
        <v>1</v>
      </c>
    </row>
    <row r="27" spans="1:13" x14ac:dyDescent="0.25">
      <c r="A27" s="3" t="s">
        <v>16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10</v>
      </c>
      <c r="I27">
        <v>10</v>
      </c>
      <c r="J27">
        <v>10</v>
      </c>
      <c r="K27">
        <v>1</v>
      </c>
      <c r="L27">
        <v>1</v>
      </c>
      <c r="M27">
        <v>1</v>
      </c>
    </row>
    <row r="28" spans="1:13" x14ac:dyDescent="0.25">
      <c r="A28" s="3" t="s">
        <v>17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10</v>
      </c>
      <c r="I28">
        <v>10</v>
      </c>
      <c r="J28">
        <v>10</v>
      </c>
      <c r="K28">
        <v>1</v>
      </c>
      <c r="L28">
        <v>1</v>
      </c>
      <c r="M28">
        <v>1</v>
      </c>
    </row>
    <row r="29" spans="1:13" x14ac:dyDescent="0.25">
      <c r="A29" s="3" t="s">
        <v>18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10</v>
      </c>
      <c r="I29">
        <v>10</v>
      </c>
      <c r="J29">
        <v>10</v>
      </c>
      <c r="K29">
        <v>1</v>
      </c>
      <c r="L29">
        <v>1</v>
      </c>
      <c r="M29">
        <v>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STDs</vt:lpstr>
      <vt:lpstr>Plate 1</vt:lpstr>
      <vt:lpstr>Plate 2</vt:lpstr>
      <vt:lpstr>Plate 3</vt:lpstr>
      <vt:lpstr>Plate 4</vt:lpstr>
      <vt:lpstr>Plate 5</vt:lpstr>
      <vt:lpstr>Plate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Wilson, Stephanie</dc:creator>
  <cp:lastModifiedBy>Wilson, Stephanie</cp:lastModifiedBy>
  <dcterms:created xsi:type="dcterms:W3CDTF">2023-05-20T18:00:15Z</dcterms:created>
  <dcterms:modified xsi:type="dcterms:W3CDTF">2023-07-26T12:24:39Z</dcterms:modified>
</cp:coreProperties>
</file>