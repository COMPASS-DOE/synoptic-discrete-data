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August Tidal Survey\"/>
    </mc:Choice>
  </mc:AlternateContent>
  <xr:revisionPtr revIDLastSave="0" documentId="8_{F663D580-077E-41DD-85B7-945E02532FE0}" xr6:coauthVersionLast="36" xr6:coauthVersionMax="36" xr10:uidLastSave="{00000000-0000-0000-0000-000000000000}"/>
  <bookViews>
    <workbookView xWindow="0" yWindow="0" windowWidth="14370" windowHeight="9585" xr2:uid="{1F5BF540-1847-47CF-BC60-DD901F81A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C17" i="1"/>
  <c r="C12" i="1"/>
  <c r="C14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<sst xmlns="http://schemas.openxmlformats.org/spreadsheetml/2006/main" count="8" uniqueCount="8">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</sst>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5.4666666666666669E-2</c:v>
                </c:pt>
                <c:pt idx="1">
                  <c:v>0.11799999999999999</c:v>
                </c:pt>
                <c:pt idx="3">
                  <c:v>0.42633333333333329</c:v>
                </c:pt>
                <c:pt idx="4">
                  <c:v>0.71649999999999991</c:v>
                </c:pt>
                <c:pt idx="5">
                  <c:v>1.196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A-4FBF-91F6-BAA31DE75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522392"/>
        <c:axId val="426525344"/>
      </c:scatterChart>
      <c:valAx>
        <c:axId val="42652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25344"/>
        <c:crosses val="autoZero"/>
        <c:crossBetween val="midCat"/>
      </c:valAx>
      <c:valAx>
        <c:axId val="4265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22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9</xdr:row>
      <xdr:rowOff>28575</xdr:rowOff>
    </xdr:from>
    <xdr:to>
      <xdr:col>11</xdr:col>
      <xdr:colOff>219075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CFC0A-9AC1-4111-827F-8D43B9D82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AA55-FF08-4138-9302-01E8630527DD}">
  <dimension ref="A1:N18"/>
  <sheetViews>
    <sheetView tabSelected="1" workbookViewId="0">
      <selection activeCell="C13" sqref="C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5.5E-2</v>
      </c>
      <c r="D2" s="3">
        <v>5.3999999999999999E-2</v>
      </c>
      <c r="E2" s="3">
        <v>4.3999999999999997E-2</v>
      </c>
      <c r="F2" s="3">
        <v>4.3999999999999997E-2</v>
      </c>
      <c r="G2" s="3">
        <v>4.5999999999999999E-2</v>
      </c>
      <c r="H2" s="3">
        <v>4.4999999999999998E-2</v>
      </c>
      <c r="I2" s="3">
        <v>4.5999999999999999E-2</v>
      </c>
      <c r="J2" s="3">
        <v>4.3999999999999997E-2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0.125</v>
      </c>
      <c r="C3" s="3">
        <v>0.20499999999999999</v>
      </c>
      <c r="D3" s="3">
        <v>0.111</v>
      </c>
      <c r="E3" s="3">
        <v>4.4999999999999998E-2</v>
      </c>
      <c r="F3" s="3">
        <v>4.3999999999999997E-2</v>
      </c>
      <c r="G3" s="3">
        <v>4.4999999999999998E-2</v>
      </c>
      <c r="H3" s="3">
        <v>4.5999999999999999E-2</v>
      </c>
      <c r="I3" s="3">
        <v>4.3999999999999997E-2</v>
      </c>
      <c r="J3" s="3">
        <v>4.3999999999999997E-2</v>
      </c>
      <c r="K3" s="3">
        <v>4.3999999999999997E-2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0.29699999999999999</v>
      </c>
      <c r="C4" s="3">
        <v>0.28999999999999998</v>
      </c>
      <c r="D4" s="3">
        <v>0.21299999999999999</v>
      </c>
      <c r="E4" s="3">
        <v>4.4999999999999998E-2</v>
      </c>
      <c r="F4" s="3">
        <v>4.3999999999999997E-2</v>
      </c>
      <c r="G4" s="3">
        <v>4.3999999999999997E-2</v>
      </c>
      <c r="H4" s="3">
        <v>4.3999999999999997E-2</v>
      </c>
      <c r="I4" s="3">
        <v>4.3999999999999997E-2</v>
      </c>
      <c r="J4" s="3">
        <v>4.3999999999999997E-2</v>
      </c>
      <c r="K4" s="3">
        <v>4.3999999999999997E-2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0.42699999999999999</v>
      </c>
      <c r="C5" s="3">
        <v>0.42799999999999999</v>
      </c>
      <c r="D5" s="3">
        <v>0.42399999999999999</v>
      </c>
      <c r="E5" s="3">
        <v>4.4999999999999998E-2</v>
      </c>
      <c r="F5" s="3">
        <v>4.3999999999999997E-2</v>
      </c>
      <c r="G5" s="3">
        <v>4.3999999999999997E-2</v>
      </c>
      <c r="H5" s="3">
        <v>4.4999999999999998E-2</v>
      </c>
      <c r="I5" s="3">
        <v>4.4999999999999998E-2</v>
      </c>
      <c r="J5" s="3">
        <v>4.4999999999999998E-2</v>
      </c>
      <c r="K5" s="3">
        <v>4.3999999999999997E-2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0.73299999999999998</v>
      </c>
      <c r="C6" s="3">
        <v>0.91400000000000003</v>
      </c>
      <c r="D6" s="3">
        <v>0.7</v>
      </c>
      <c r="E6" s="3">
        <v>4.3999999999999997E-2</v>
      </c>
      <c r="F6" s="3">
        <v>4.3999999999999997E-2</v>
      </c>
      <c r="G6" s="3">
        <v>4.3999999999999997E-2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1.115</v>
      </c>
      <c r="C7" s="3">
        <v>1.226</v>
      </c>
      <c r="D7" s="3">
        <v>1.1659999999999999</v>
      </c>
      <c r="E7" s="3">
        <v>4.3999999999999997E-2</v>
      </c>
      <c r="F7" s="3">
        <v>4.3999999999999997E-2</v>
      </c>
      <c r="G7" s="3">
        <v>4.4999999999999998E-2</v>
      </c>
      <c r="H7" s="3">
        <v>4.3999999999999997E-2</v>
      </c>
      <c r="I7" s="3">
        <v>4.3999999999999997E-2</v>
      </c>
      <c r="J7" s="3">
        <v>4.3999999999999997E-2</v>
      </c>
      <c r="K7" s="3">
        <v>4.3999999999999997E-2</v>
      </c>
      <c r="L7" s="3">
        <v>4.3999999999999997E-2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1.1930000000000001</v>
      </c>
      <c r="C8" s="3">
        <v>1.081</v>
      </c>
      <c r="D8" s="3">
        <v>1.1779999999999999</v>
      </c>
      <c r="E8" s="3">
        <v>4.3999999999999997E-2</v>
      </c>
      <c r="F8" s="3">
        <v>4.3999999999999997E-2</v>
      </c>
      <c r="G8" s="3">
        <v>4.4999999999999998E-2</v>
      </c>
      <c r="H8" s="3">
        <v>4.3999999999999997E-2</v>
      </c>
      <c r="I8" s="3">
        <v>4.3999999999999997E-2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1.2909999999999999</v>
      </c>
      <c r="C9" s="3">
        <v>1.175</v>
      </c>
      <c r="D9" s="3">
        <v>1.2470000000000001</v>
      </c>
      <c r="E9" s="3">
        <v>4.3999999999999997E-2</v>
      </c>
      <c r="F9" s="3">
        <v>4.3999999999999997E-2</v>
      </c>
      <c r="G9" s="3">
        <v>4.3999999999999997E-2</v>
      </c>
      <c r="H9" s="3">
        <v>4.3999999999999997E-2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5.4666666666666669E-2</v>
      </c>
    </row>
    <row r="12" spans="1:14" x14ac:dyDescent="0.25">
      <c r="B12" s="5">
        <v>5</v>
      </c>
      <c r="C12">
        <f>AVERAGE(B3,D3)</f>
        <v>0.11799999999999999</v>
      </c>
    </row>
    <row r="13" spans="1:14" x14ac:dyDescent="0.25">
      <c r="B13" s="5">
        <v>12.5</v>
      </c>
    </row>
    <row r="14" spans="1:14" x14ac:dyDescent="0.25">
      <c r="B14" s="5">
        <v>25</v>
      </c>
      <c r="C14">
        <f t="shared" ref="C12:C18" si="0">AVERAGE(B5:D5)</f>
        <v>0.42633333333333329</v>
      </c>
    </row>
    <row r="15" spans="1:14" x14ac:dyDescent="0.25">
      <c r="B15" s="5">
        <v>50</v>
      </c>
      <c r="C15">
        <f>AVERAGE(B6,D6)</f>
        <v>0.71649999999999991</v>
      </c>
    </row>
    <row r="16" spans="1:14" x14ac:dyDescent="0.25">
      <c r="B16" s="5">
        <v>100</v>
      </c>
      <c r="C16">
        <f>AVERAGE(C7:D7)</f>
        <v>1.196</v>
      </c>
    </row>
    <row r="17" spans="3:3" x14ac:dyDescent="0.25">
      <c r="C17">
        <f>AVERAGE(B8:D8)</f>
        <v>1.1506666666666667</v>
      </c>
    </row>
    <row r="18" spans="3:3" x14ac:dyDescent="0.25">
      <c r="C18">
        <f t="shared" si="0"/>
        <v>1.2376666666666667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2024-09-03T14:33:32Z</dcterms:created>
  <dcterms:modified xsi:type="dcterms:W3CDTF">2024-09-03T14:36:19Z</dcterms:modified>
</cp:coreProperties>
</file>